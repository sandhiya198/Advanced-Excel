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LCOT\Documents\"/>
    </mc:Choice>
  </mc:AlternateContent>
  <bookViews>
    <workbookView xWindow="0" yWindow="0" windowWidth="16815" windowHeight="8445" activeTab="4"/>
  </bookViews>
  <sheets>
    <sheet name="Data set " sheetId="1" r:id="rId1"/>
    <sheet name="pivot table" sheetId="2" r:id="rId2"/>
    <sheet name="macros" sheetId="4" r:id="rId3"/>
    <sheet name="macros test" sheetId="6" r:id="rId4"/>
    <sheet name="lookup function" sheetId="11" r:id="rId5"/>
    <sheet name="diagram" sheetId="9" r:id="rId6"/>
  </sheets>
  <externalReferences>
    <externalReference r:id="rId7"/>
    <externalReference r:id="rId8"/>
  </externalReferences>
  <calcPr calcId="15251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" i="11" l="1"/>
  <c r="G7" i="11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L12" i="9"/>
  <c r="I11" i="9"/>
  <c r="L11" i="9"/>
  <c r="I10" i="9"/>
  <c r="L10" i="9"/>
  <c r="I9" i="9"/>
  <c r="L9" i="9"/>
  <c r="I8" i="9"/>
  <c r="L8" i="9"/>
  <c r="I7" i="9"/>
  <c r="L7" i="9"/>
  <c r="I6" i="9"/>
  <c r="L6" i="9"/>
  <c r="I5" i="9"/>
  <c r="I4" i="9"/>
  <c r="I3" i="9"/>
  <c r="I2" i="9"/>
  <c r="O10" i="4"/>
  <c r="O8" i="6"/>
  <c r="O6" i="6"/>
  <c r="O8" i="4"/>
  <c r="O6" i="4"/>
</calcChain>
</file>

<file path=xl/sharedStrings.xml><?xml version="1.0" encoding="utf-8"?>
<sst xmlns="http://schemas.openxmlformats.org/spreadsheetml/2006/main" count="1264" uniqueCount="241">
  <si>
    <t>Product_ID</t>
  </si>
  <si>
    <t>Category</t>
  </si>
  <si>
    <t>Price (Rs.)</t>
  </si>
  <si>
    <t>Discount (%)</t>
  </si>
  <si>
    <t>Final_Price(Rs.)</t>
  </si>
  <si>
    <t>Payment_Method</t>
  </si>
  <si>
    <t>fde50f9c-5</t>
  </si>
  <si>
    <t>Clothing</t>
  </si>
  <si>
    <t>Net Banking</t>
  </si>
  <si>
    <t>e221cf14-c</t>
  </si>
  <si>
    <t>Beauty</t>
  </si>
  <si>
    <t>Cash on Delivery</t>
  </si>
  <si>
    <t>b1d2560c-7</t>
  </si>
  <si>
    <t>Home &amp; Kitchen</t>
  </si>
  <si>
    <t>d384b62b-c</t>
  </si>
  <si>
    <t>Toys</t>
  </si>
  <si>
    <t>d5b42863-c</t>
  </si>
  <si>
    <t>3e56a630-e</t>
  </si>
  <si>
    <t>Debit Card</t>
  </si>
  <si>
    <t>1dc3b1a0-4</t>
  </si>
  <si>
    <t>UPI</t>
  </si>
  <si>
    <t>cc379a88-b</t>
  </si>
  <si>
    <t>Electronics</t>
  </si>
  <si>
    <t>1695a728-0</t>
  </si>
  <si>
    <t>Credit Card</t>
  </si>
  <si>
    <t>c66354db-6</t>
  </si>
  <si>
    <t>e964198d-7</t>
  </si>
  <si>
    <t>663d067f-2</t>
  </si>
  <si>
    <t>c893a571-b</t>
  </si>
  <si>
    <t>dd1ca92d-a</t>
  </si>
  <si>
    <t>c70fab41-e</t>
  </si>
  <si>
    <t>Books</t>
  </si>
  <si>
    <t>2257fd97-e</t>
  </si>
  <si>
    <t>3b0a706d-2</t>
  </si>
  <si>
    <t>c40efcc0-2</t>
  </si>
  <si>
    <t>268ce5a6-f</t>
  </si>
  <si>
    <t>cfe90194-b</t>
  </si>
  <si>
    <t>5b91457c-3</t>
  </si>
  <si>
    <t>7f15c4cf-6</t>
  </si>
  <si>
    <t>6b4b6852-a</t>
  </si>
  <si>
    <t>cf9bf8ad-9</t>
  </si>
  <si>
    <t>7ae18ecd-b</t>
  </si>
  <si>
    <t>968716f9-d</t>
  </si>
  <si>
    <t>7b5dd212-c</t>
  </si>
  <si>
    <t>b2969904-5</t>
  </si>
  <si>
    <t>ab7ff487-1</t>
  </si>
  <si>
    <t>65a4da6f-6</t>
  </si>
  <si>
    <t>4263e65c-c</t>
  </si>
  <si>
    <t>16ee2335-1</t>
  </si>
  <si>
    <t>a0e0a691-6</t>
  </si>
  <si>
    <t>da23cfa7-8</t>
  </si>
  <si>
    <t>5fe989c9-0</t>
  </si>
  <si>
    <t>Sports</t>
  </si>
  <si>
    <t>928d77c4-3</t>
  </si>
  <si>
    <t>8d255132-b</t>
  </si>
  <si>
    <t>2cbe2f6f-c</t>
  </si>
  <si>
    <t>9ea32af8-e</t>
  </si>
  <si>
    <t>65ac8845-c</t>
  </si>
  <si>
    <t>93a8561e-7</t>
  </si>
  <si>
    <t>e2cdb444-c</t>
  </si>
  <si>
    <t>1115a4cc-1</t>
  </si>
  <si>
    <t>d2f40c10-8</t>
  </si>
  <si>
    <t>3d8c1bc0-8</t>
  </si>
  <si>
    <t>e570765e-b</t>
  </si>
  <si>
    <t>474c66bf-3</t>
  </si>
  <si>
    <t>118fb0b7-5</t>
  </si>
  <si>
    <t>36d0d0c8-a</t>
  </si>
  <si>
    <t>e5e1cfb0-8</t>
  </si>
  <si>
    <t>8423ce73-6</t>
  </si>
  <si>
    <t>1e180b5a-5</t>
  </si>
  <si>
    <t>35303867-3</t>
  </si>
  <si>
    <t>2b55fe4e-5</t>
  </si>
  <si>
    <t>7bd70763-d</t>
  </si>
  <si>
    <t>8758e2a7-5</t>
  </si>
  <si>
    <t>f6668874-4</t>
  </si>
  <si>
    <t>99f4f73c-d</t>
  </si>
  <si>
    <t>34731d18-b</t>
  </si>
  <si>
    <t>2029492d-a</t>
  </si>
  <si>
    <t>97aa2898-6</t>
  </si>
  <si>
    <t>19694848-0</t>
  </si>
  <si>
    <t>f5929b23-f</t>
  </si>
  <si>
    <t>538ed23f-d</t>
  </si>
  <si>
    <t>c612b025-d</t>
  </si>
  <si>
    <t>d3ede683-9</t>
  </si>
  <si>
    <t>5e1c0286-d</t>
  </si>
  <si>
    <t>5d6d3c17-6</t>
  </si>
  <si>
    <t>25ea4a1f-0</t>
  </si>
  <si>
    <t>dce9a48e-f</t>
  </si>
  <si>
    <t>cfcc5fd6-b</t>
  </si>
  <si>
    <t>4c798c68-9</t>
  </si>
  <si>
    <t>f5819e74-0</t>
  </si>
  <si>
    <t>6d05da53-3</t>
  </si>
  <si>
    <t>7438ea1f-c</t>
  </si>
  <si>
    <t>1ff000e0-e</t>
  </si>
  <si>
    <t>51f72692-9</t>
  </si>
  <si>
    <t>919c0e4d-0</t>
  </si>
  <si>
    <t>73bb6de8-1</t>
  </si>
  <si>
    <t>31dd646d-7</t>
  </si>
  <si>
    <t>b8455d97-7</t>
  </si>
  <si>
    <t>f4193c4a-2</t>
  </si>
  <si>
    <t>5024d38a-c</t>
  </si>
  <si>
    <t>c385a9e4-c</t>
  </si>
  <si>
    <t>2ad69764-b</t>
  </si>
  <si>
    <t>33850590-0</t>
  </si>
  <si>
    <t>fbe1be6d-3</t>
  </si>
  <si>
    <t>95d60434-e</t>
  </si>
  <si>
    <t>1d45530e-f</t>
  </si>
  <si>
    <t>68365458-0</t>
  </si>
  <si>
    <t>ceab308d-f</t>
  </si>
  <si>
    <t>d45a02f8-3</t>
  </si>
  <si>
    <t>0ae87429-2</t>
  </si>
  <si>
    <t>1859fc40-2</t>
  </si>
  <si>
    <t>eb398faf-6</t>
  </si>
  <si>
    <t>c4f71922-a</t>
  </si>
  <si>
    <t>0412d7ff-f</t>
  </si>
  <si>
    <t>158fd3b5-2</t>
  </si>
  <si>
    <t>32f4abf1-e</t>
  </si>
  <si>
    <t>afd38630-0</t>
  </si>
  <si>
    <t>33d1d69e-5</t>
  </si>
  <si>
    <t>Row Labels</t>
  </si>
  <si>
    <t>Grand Total</t>
  </si>
  <si>
    <t>Sum of Price (Rs.)</t>
  </si>
  <si>
    <t>Column Labels</t>
  </si>
  <si>
    <t>how many times of cash on delivery method used</t>
  </si>
  <si>
    <t>what is the total of  final price</t>
  </si>
  <si>
    <t>which of product category is more sale</t>
  </si>
  <si>
    <t>number of home and kitchen</t>
  </si>
  <si>
    <t>Task ID</t>
  </si>
  <si>
    <t>Task name</t>
  </si>
  <si>
    <t>start date</t>
  </si>
  <si>
    <t>Priority</t>
  </si>
  <si>
    <t>Status</t>
  </si>
  <si>
    <t>Notes</t>
  </si>
  <si>
    <t>Completion</t>
  </si>
  <si>
    <t>Due date</t>
  </si>
  <si>
    <t>Duration</t>
  </si>
  <si>
    <t>Write report</t>
  </si>
  <si>
    <t>High</t>
  </si>
  <si>
    <t>Not started</t>
  </si>
  <si>
    <t>Resreach complete</t>
  </si>
  <si>
    <t>Email client</t>
  </si>
  <si>
    <t>Medium</t>
  </si>
  <si>
    <t>inprogress</t>
  </si>
  <si>
    <t>Drafting emails</t>
  </si>
  <si>
    <t>Update website</t>
  </si>
  <si>
    <t>Needs content</t>
  </si>
  <si>
    <t>schedule meeting</t>
  </si>
  <si>
    <t>Low</t>
  </si>
  <si>
    <t>completed</t>
  </si>
  <si>
    <t>sent invites</t>
  </si>
  <si>
    <t>total task</t>
  </si>
  <si>
    <t>Update software</t>
  </si>
  <si>
    <t>waiting for approval</t>
  </si>
  <si>
    <t>Task completed</t>
  </si>
  <si>
    <t>Call client A</t>
  </si>
  <si>
    <t>Project discussed</t>
  </si>
  <si>
    <t>totalwork in progress</t>
  </si>
  <si>
    <t>Preapre presentation</t>
  </si>
  <si>
    <t>Need to gather data</t>
  </si>
  <si>
    <t>total not started</t>
  </si>
  <si>
    <t>Design logo for Website</t>
  </si>
  <si>
    <t>Initial ideas</t>
  </si>
  <si>
    <t xml:space="preserve">high </t>
  </si>
  <si>
    <t>Book conference ticket</t>
  </si>
  <si>
    <t>Looking for discount</t>
  </si>
  <si>
    <t>low</t>
  </si>
  <si>
    <t>Submit tax document</t>
  </si>
  <si>
    <t>Deadline approaching</t>
  </si>
  <si>
    <t>medium</t>
  </si>
  <si>
    <t>Organize meeting room</t>
  </si>
  <si>
    <t>Reserved the room</t>
  </si>
  <si>
    <t>Buy office supplies</t>
  </si>
  <si>
    <t>check inventory</t>
  </si>
  <si>
    <t>Clean the work space</t>
  </si>
  <si>
    <t>organizing file</t>
  </si>
  <si>
    <t>Prepare invoice</t>
  </si>
  <si>
    <t>sent to client B</t>
  </si>
  <si>
    <t>Resreach competitors</t>
  </si>
  <si>
    <t>Need market analysis</t>
  </si>
  <si>
    <t>Update social media</t>
  </si>
  <si>
    <t>Posted new updates</t>
  </si>
  <si>
    <t>Write blog post</t>
  </si>
  <si>
    <t>Decide on Topic</t>
  </si>
  <si>
    <t>Review financial statements</t>
  </si>
  <si>
    <t>Need accounting data</t>
  </si>
  <si>
    <t>Clean email inbox</t>
  </si>
  <si>
    <t>Old emails</t>
  </si>
  <si>
    <t>Send newsletter</t>
  </si>
  <si>
    <t>Writing content</t>
  </si>
  <si>
    <t>Confirm event venue</t>
  </si>
  <si>
    <t>Need to call venue</t>
  </si>
  <si>
    <t>Prepare meeting agenda</t>
  </si>
  <si>
    <t>Agenda shared with team</t>
  </si>
  <si>
    <t>Setup project plan</t>
  </si>
  <si>
    <t xml:space="preserve">Need approval </t>
  </si>
  <si>
    <t>Test product feature</t>
  </si>
  <si>
    <t>Testing new updates</t>
  </si>
  <si>
    <t>Analyse customer feedback</t>
  </si>
  <si>
    <t>Collect data</t>
  </si>
  <si>
    <t>schedule team call</t>
  </si>
  <si>
    <t>call schedules</t>
  </si>
  <si>
    <t>Follow up with supplier</t>
  </si>
  <si>
    <t xml:space="preserve">waiting for response </t>
  </si>
  <si>
    <t>Design business card</t>
  </si>
  <si>
    <t>Need new design</t>
  </si>
  <si>
    <t>Sum of Completion</t>
  </si>
  <si>
    <t>VLOOKUP FUNCTION</t>
  </si>
  <si>
    <t>charles</t>
  </si>
  <si>
    <t>hussain</t>
  </si>
  <si>
    <t>asrar</t>
  </si>
  <si>
    <t>regish</t>
  </si>
  <si>
    <t>jeeva</t>
  </si>
  <si>
    <t>harish</t>
  </si>
  <si>
    <t>mathi</t>
  </si>
  <si>
    <t>kumar</t>
  </si>
  <si>
    <t>dilip</t>
  </si>
  <si>
    <t>sisu</t>
  </si>
  <si>
    <t>babu</t>
  </si>
  <si>
    <t>karan</t>
  </si>
  <si>
    <t>vinoth</t>
  </si>
  <si>
    <t>selva</t>
  </si>
  <si>
    <t>raj</t>
  </si>
  <si>
    <t>mukesh</t>
  </si>
  <si>
    <t>kavi</t>
  </si>
  <si>
    <t>sales person</t>
  </si>
  <si>
    <t>product</t>
  </si>
  <si>
    <t>units</t>
  </si>
  <si>
    <t>sales amount</t>
  </si>
  <si>
    <t>only fist colum value is worked</t>
  </si>
  <si>
    <t>HLOOKUP FUNCTION</t>
  </si>
  <si>
    <t>SUBJECT</t>
  </si>
  <si>
    <t>TAMIL</t>
  </si>
  <si>
    <t>ENGLISH</t>
  </si>
  <si>
    <t xml:space="preserve">MATHS   </t>
  </si>
  <si>
    <t>SCIENCE</t>
  </si>
  <si>
    <t>SOCIAL</t>
  </si>
  <si>
    <t>SANDHIYA</t>
  </si>
  <si>
    <t>GAYATHRI</t>
  </si>
  <si>
    <t>SAKTHI</t>
  </si>
  <si>
    <t>MUTHU</t>
  </si>
  <si>
    <t>JEEVITHA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</si>
</sst>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2" borderId="1" xfId="0" applyFont="1" applyFill="1" applyBorder="1"/>
    <xf numFmtId="0" fontId="0" fillId="0" borderId="1" xfId="0" applyFont="1" applyBorder="1"/>
    <xf numFmtId="0" fontId="0" fillId="0" borderId="0" xfId="0" applyAlignment="1">
      <alignment horizontal="center"/>
    </xf>
    <xf numFmtId="9" fontId="1" fillId="0" borderId="0" xfId="1" applyFont="1"/>
    <xf numFmtId="9" fontId="0" fillId="0" borderId="0" xfId="1" applyFont="1"/>
    <xf numFmtId="0" fontId="1" fillId="3" borderId="2" xfId="0" applyFont="1" applyFill="1" applyBorder="1" applyAlignment="1">
      <alignment horizontal="left"/>
    </xf>
    <xf numFmtId="0" fontId="1" fillId="3" borderId="2" xfId="0" applyNumberFormat="1" applyFont="1" applyFill="1" applyBorder="1"/>
    <xf numFmtId="0" fontId="1" fillId="3" borderId="3" xfId="0" applyFont="1" applyFill="1" applyBorder="1"/>
    <xf numFmtId="10" fontId="0" fillId="0" borderId="0" xfId="0" applyNumberFormat="1"/>
    <xf numFmtId="14" fontId="0" fillId="0" borderId="0" xfId="0" applyNumberFormat="1"/>
    <xf numFmtId="9" fontId="0" fillId="0" borderId="0" xfId="0" applyNumberForma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2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numFmt numFmtId="19" formatCode="dd/mm/yyyy"/>
    </dxf>
    <dxf>
      <numFmt numFmtId="14" formatCode="0.00%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1" defaultTableStyle="TableStyleMedium2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775470763449719"/>
          <c:y val="3.6797416146021247E-3"/>
          <c:w val="0.59083486439195099"/>
          <c:h val="0.84167468649752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[2]Sheet1!$C$1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[2]Sheet1!$B$1:$B$29</c15:sqref>
                  </c15:fullRef>
                </c:ext>
              </c:extLst>
              <c:f>[2]Sheet1!$B$2:$B$29</c:f>
              <c:strCache>
                <c:ptCount val="28"/>
                <c:pt idx="0">
                  <c:v>Write report</c:v>
                </c:pt>
                <c:pt idx="1">
                  <c:v>Email client</c:v>
                </c:pt>
                <c:pt idx="2">
                  <c:v>Update website</c:v>
                </c:pt>
                <c:pt idx="3">
                  <c:v>schedule meeting</c:v>
                </c:pt>
                <c:pt idx="4">
                  <c:v>Update software</c:v>
                </c:pt>
                <c:pt idx="5">
                  <c:v>Call client A</c:v>
                </c:pt>
                <c:pt idx="6">
                  <c:v>Preapre presentation</c:v>
                </c:pt>
                <c:pt idx="7">
                  <c:v>Design logo for Website</c:v>
                </c:pt>
                <c:pt idx="8">
                  <c:v>Book conference ticket</c:v>
                </c:pt>
                <c:pt idx="9">
                  <c:v>Submit tax document</c:v>
                </c:pt>
                <c:pt idx="10">
                  <c:v>Organize meeting room</c:v>
                </c:pt>
                <c:pt idx="11">
                  <c:v>Buy office supplies</c:v>
                </c:pt>
                <c:pt idx="12">
                  <c:v>Clean the work space</c:v>
                </c:pt>
                <c:pt idx="13">
                  <c:v>Prepare invoice</c:v>
                </c:pt>
                <c:pt idx="14">
                  <c:v>Resreach competitors</c:v>
                </c:pt>
                <c:pt idx="15">
                  <c:v>Update social media</c:v>
                </c:pt>
                <c:pt idx="16">
                  <c:v>Write blog post</c:v>
                </c:pt>
                <c:pt idx="17">
                  <c:v>Review financial statements</c:v>
                </c:pt>
                <c:pt idx="18">
                  <c:v>Clean email inbox</c:v>
                </c:pt>
                <c:pt idx="19">
                  <c:v>Send newsletter</c:v>
                </c:pt>
                <c:pt idx="20">
                  <c:v>Confirm event venue</c:v>
                </c:pt>
                <c:pt idx="21">
                  <c:v>Prepare meeting agenda</c:v>
                </c:pt>
                <c:pt idx="22">
                  <c:v>Setup project plan</c:v>
                </c:pt>
                <c:pt idx="23">
                  <c:v>Test product feature</c:v>
                </c:pt>
                <c:pt idx="24">
                  <c:v>Analyse customer feedback</c:v>
                </c:pt>
                <c:pt idx="25">
                  <c:v>schedule team call</c:v>
                </c:pt>
                <c:pt idx="26">
                  <c:v>Follow up with supplier</c:v>
                </c:pt>
                <c:pt idx="27">
                  <c:v>Design business card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[2]Sheet1!$C$2:$C$29</c15:sqref>
                  </c15:fullRef>
                </c:ext>
              </c:extLst>
              <c:f>[2]Sheet1!$C$3:$C$29</c:f>
              <c:numCache>
                <c:formatCode>m/d/yyyy</c:formatCode>
                <c:ptCount val="27"/>
                <c:pt idx="0">
                  <c:v>45303</c:v>
                </c:pt>
                <c:pt idx="1">
                  <c:v>45306</c:v>
                </c:pt>
                <c:pt idx="2">
                  <c:v>45302</c:v>
                </c:pt>
                <c:pt idx="3">
                  <c:v>45305</c:v>
                </c:pt>
                <c:pt idx="4">
                  <c:v>45302</c:v>
                </c:pt>
                <c:pt idx="5">
                  <c:v>45306</c:v>
                </c:pt>
                <c:pt idx="6">
                  <c:v>45304</c:v>
                </c:pt>
                <c:pt idx="7">
                  <c:v>45309</c:v>
                </c:pt>
                <c:pt idx="8">
                  <c:v>45311</c:v>
                </c:pt>
                <c:pt idx="9">
                  <c:v>45303</c:v>
                </c:pt>
                <c:pt idx="10">
                  <c:v>45307</c:v>
                </c:pt>
                <c:pt idx="11">
                  <c:v>45305</c:v>
                </c:pt>
                <c:pt idx="12">
                  <c:v>45308</c:v>
                </c:pt>
                <c:pt idx="13">
                  <c:v>45304</c:v>
                </c:pt>
                <c:pt idx="14">
                  <c:v>45302</c:v>
                </c:pt>
                <c:pt idx="15">
                  <c:v>45310</c:v>
                </c:pt>
                <c:pt idx="16">
                  <c:v>45306</c:v>
                </c:pt>
                <c:pt idx="17">
                  <c:v>45304</c:v>
                </c:pt>
                <c:pt idx="18">
                  <c:v>45307</c:v>
                </c:pt>
                <c:pt idx="19">
                  <c:v>45305</c:v>
                </c:pt>
                <c:pt idx="20">
                  <c:v>45303</c:v>
                </c:pt>
                <c:pt idx="21">
                  <c:v>45308</c:v>
                </c:pt>
                <c:pt idx="22">
                  <c:v>45309</c:v>
                </c:pt>
                <c:pt idx="23">
                  <c:v>45310</c:v>
                </c:pt>
                <c:pt idx="24">
                  <c:v>45311</c:v>
                </c:pt>
                <c:pt idx="25">
                  <c:v>45307</c:v>
                </c:pt>
                <c:pt idx="26">
                  <c:v>45304</c:v>
                </c:pt>
              </c:numCache>
            </c:numRef>
          </c:val>
        </c:ser>
        <c:ser>
          <c:idx val="1"/>
          <c:order val="1"/>
          <c:tx>
            <c:strRef>
              <c:f>[2]Sheet1!$I$1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[2]Sheet1!$B$1:$B$29</c15:sqref>
                  </c15:fullRef>
                </c:ext>
              </c:extLst>
              <c:f>[2]Sheet1!$B$2:$B$29</c:f>
              <c:strCache>
                <c:ptCount val="28"/>
                <c:pt idx="0">
                  <c:v>Write report</c:v>
                </c:pt>
                <c:pt idx="1">
                  <c:v>Email client</c:v>
                </c:pt>
                <c:pt idx="2">
                  <c:v>Update website</c:v>
                </c:pt>
                <c:pt idx="3">
                  <c:v>schedule meeting</c:v>
                </c:pt>
                <c:pt idx="4">
                  <c:v>Update software</c:v>
                </c:pt>
                <c:pt idx="5">
                  <c:v>Call client A</c:v>
                </c:pt>
                <c:pt idx="6">
                  <c:v>Preapre presentation</c:v>
                </c:pt>
                <c:pt idx="7">
                  <c:v>Design logo for Website</c:v>
                </c:pt>
                <c:pt idx="8">
                  <c:v>Book conference ticket</c:v>
                </c:pt>
                <c:pt idx="9">
                  <c:v>Submit tax document</c:v>
                </c:pt>
                <c:pt idx="10">
                  <c:v>Organize meeting room</c:v>
                </c:pt>
                <c:pt idx="11">
                  <c:v>Buy office supplies</c:v>
                </c:pt>
                <c:pt idx="12">
                  <c:v>Clean the work space</c:v>
                </c:pt>
                <c:pt idx="13">
                  <c:v>Prepare invoice</c:v>
                </c:pt>
                <c:pt idx="14">
                  <c:v>Resreach competitors</c:v>
                </c:pt>
                <c:pt idx="15">
                  <c:v>Update social media</c:v>
                </c:pt>
                <c:pt idx="16">
                  <c:v>Write blog post</c:v>
                </c:pt>
                <c:pt idx="17">
                  <c:v>Review financial statements</c:v>
                </c:pt>
                <c:pt idx="18">
                  <c:v>Clean email inbox</c:v>
                </c:pt>
                <c:pt idx="19">
                  <c:v>Send newsletter</c:v>
                </c:pt>
                <c:pt idx="20">
                  <c:v>Confirm event venue</c:v>
                </c:pt>
                <c:pt idx="21">
                  <c:v>Prepare meeting agenda</c:v>
                </c:pt>
                <c:pt idx="22">
                  <c:v>Setup project plan</c:v>
                </c:pt>
                <c:pt idx="23">
                  <c:v>Test product feature</c:v>
                </c:pt>
                <c:pt idx="24">
                  <c:v>Analyse customer feedback</c:v>
                </c:pt>
                <c:pt idx="25">
                  <c:v>schedule team call</c:v>
                </c:pt>
                <c:pt idx="26">
                  <c:v>Follow up with supplier</c:v>
                </c:pt>
                <c:pt idx="27">
                  <c:v>Design business card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[2]Sheet1!$I$2:$I$29</c15:sqref>
                  </c15:fullRef>
                </c:ext>
              </c:extLst>
              <c:f>[2]Sheet1!$I$3:$I$29</c:f>
              <c:numCache>
                <c:formatCode>General</c:formatCode>
                <c:ptCount val="27"/>
                <c:pt idx="0">
                  <c:v>29</c:v>
                </c:pt>
                <c:pt idx="1">
                  <c:v>13</c:v>
                </c:pt>
                <c:pt idx="2">
                  <c:v>53</c:v>
                </c:pt>
                <c:pt idx="3">
                  <c:v>6</c:v>
                </c:pt>
                <c:pt idx="4">
                  <c:v>22</c:v>
                </c:pt>
                <c:pt idx="5">
                  <c:v>10</c:v>
                </c:pt>
                <c:pt idx="6">
                  <c:v>60</c:v>
                </c:pt>
                <c:pt idx="7">
                  <c:v>41</c:v>
                </c:pt>
                <c:pt idx="8">
                  <c:v>10</c:v>
                </c:pt>
                <c:pt idx="9">
                  <c:v>70</c:v>
                </c:pt>
                <c:pt idx="10">
                  <c:v>72</c:v>
                </c:pt>
                <c:pt idx="11">
                  <c:v>68</c:v>
                </c:pt>
                <c:pt idx="12">
                  <c:v>31</c:v>
                </c:pt>
                <c:pt idx="13">
                  <c:v>31</c:v>
                </c:pt>
                <c:pt idx="14">
                  <c:v>21</c:v>
                </c:pt>
                <c:pt idx="15">
                  <c:v>31</c:v>
                </c:pt>
                <c:pt idx="16">
                  <c:v>10</c:v>
                </c:pt>
                <c:pt idx="17">
                  <c:v>60</c:v>
                </c:pt>
                <c:pt idx="18">
                  <c:v>20</c:v>
                </c:pt>
                <c:pt idx="19">
                  <c:v>10</c:v>
                </c:pt>
                <c:pt idx="20">
                  <c:v>18</c:v>
                </c:pt>
                <c:pt idx="21">
                  <c:v>10</c:v>
                </c:pt>
                <c:pt idx="22">
                  <c:v>14</c:v>
                </c:pt>
                <c:pt idx="23">
                  <c:v>31</c:v>
                </c:pt>
                <c:pt idx="24">
                  <c:v>30</c:v>
                </c:pt>
                <c:pt idx="25">
                  <c:v>33</c:v>
                </c:pt>
                <c:pt idx="26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973090944"/>
        <c:axId val="-973094752"/>
      </c:barChart>
      <c:catAx>
        <c:axId val="-973090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3094752"/>
        <c:crosses val="autoZero"/>
        <c:auto val="1"/>
        <c:lblAlgn val="ctr"/>
        <c:lblOffset val="100"/>
        <c:noMultiLvlLbl val="0"/>
      </c:catAx>
      <c:valAx>
        <c:axId val="-97309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309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34</xdr:row>
      <xdr:rowOff>180974</xdr:rowOff>
    </xdr:from>
    <xdr:to>
      <xdr:col>13</xdr:col>
      <xdr:colOff>476249</xdr:colOff>
      <xdr:row>73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COT/Pictures/Searches/Downloads/excel%20proj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3"/>
      <sheetName val="Sheet1"/>
    </sheetNames>
    <sheetDataSet>
      <sheetData sheetId="0"/>
      <sheetData sheetId="1"/>
      <sheetData sheetId="2">
        <row r="1">
          <cell r="B1" t="str">
            <v>Task name</v>
          </cell>
          <cell r="C1" t="str">
            <v>start date</v>
          </cell>
          <cell r="I1" t="str">
            <v>Duration</v>
          </cell>
        </row>
        <row r="2">
          <cell r="B2" t="str">
            <v>Write report</v>
          </cell>
          <cell r="C2">
            <v>45301</v>
          </cell>
          <cell r="E2" t="str">
            <v>Not started</v>
          </cell>
          <cell r="I2">
            <v>9</v>
          </cell>
        </row>
        <row r="3">
          <cell r="B3" t="str">
            <v>Email client</v>
          </cell>
          <cell r="C3">
            <v>45303</v>
          </cell>
          <cell r="E3" t="str">
            <v>inprogress</v>
          </cell>
          <cell r="I3">
            <v>29</v>
          </cell>
        </row>
        <row r="4">
          <cell r="B4" t="str">
            <v>Update website</v>
          </cell>
          <cell r="C4">
            <v>45306</v>
          </cell>
          <cell r="E4" t="str">
            <v>Not started</v>
          </cell>
          <cell r="I4">
            <v>13</v>
          </cell>
        </row>
        <row r="5">
          <cell r="B5" t="str">
            <v>schedule meeting</v>
          </cell>
          <cell r="C5">
            <v>45302</v>
          </cell>
          <cell r="E5" t="str">
            <v>completed</v>
          </cell>
          <cell r="I5">
            <v>53</v>
          </cell>
        </row>
        <row r="6">
          <cell r="B6" t="str">
            <v>Update software</v>
          </cell>
          <cell r="C6">
            <v>45305</v>
          </cell>
          <cell r="E6" t="str">
            <v>inprogress</v>
          </cell>
          <cell r="I6">
            <v>6</v>
          </cell>
        </row>
        <row r="7">
          <cell r="B7" t="str">
            <v>Call client A</v>
          </cell>
          <cell r="C7">
            <v>45302</v>
          </cell>
          <cell r="E7" t="str">
            <v>completed</v>
          </cell>
          <cell r="I7">
            <v>22</v>
          </cell>
        </row>
        <row r="8">
          <cell r="B8" t="str">
            <v>Preapre presentation</v>
          </cell>
          <cell r="C8">
            <v>45306</v>
          </cell>
          <cell r="E8" t="str">
            <v>Not started</v>
          </cell>
          <cell r="I8">
            <v>10</v>
          </cell>
        </row>
        <row r="9">
          <cell r="B9" t="str">
            <v>Design logo for Website</v>
          </cell>
          <cell r="C9">
            <v>45304</v>
          </cell>
          <cell r="E9" t="str">
            <v>Not started</v>
          </cell>
          <cell r="I9">
            <v>60</v>
          </cell>
        </row>
        <row r="10">
          <cell r="B10" t="str">
            <v>Book conference ticket</v>
          </cell>
          <cell r="C10">
            <v>45309</v>
          </cell>
          <cell r="E10" t="str">
            <v>inprogress</v>
          </cell>
          <cell r="I10">
            <v>41</v>
          </cell>
        </row>
        <row r="11">
          <cell r="B11" t="str">
            <v>Submit tax document</v>
          </cell>
          <cell r="C11">
            <v>45311</v>
          </cell>
          <cell r="E11" t="str">
            <v>Not started</v>
          </cell>
          <cell r="I11">
            <v>10</v>
          </cell>
        </row>
        <row r="12">
          <cell r="B12" t="str">
            <v>Organize meeting room</v>
          </cell>
          <cell r="C12">
            <v>45303</v>
          </cell>
          <cell r="E12" t="str">
            <v>completed</v>
          </cell>
          <cell r="I12">
            <v>70</v>
          </cell>
        </row>
        <row r="13">
          <cell r="B13" t="str">
            <v>Buy office supplies</v>
          </cell>
          <cell r="C13">
            <v>45307</v>
          </cell>
          <cell r="E13" t="str">
            <v>Not started</v>
          </cell>
          <cell r="I13">
            <v>72</v>
          </cell>
        </row>
        <row r="14">
          <cell r="B14" t="str">
            <v>Clean the work space</v>
          </cell>
          <cell r="C14">
            <v>45305</v>
          </cell>
          <cell r="E14" t="str">
            <v>inprogress</v>
          </cell>
          <cell r="I14">
            <v>68</v>
          </cell>
        </row>
        <row r="15">
          <cell r="B15" t="str">
            <v>Prepare invoice</v>
          </cell>
          <cell r="C15">
            <v>45308</v>
          </cell>
          <cell r="E15" t="str">
            <v>completed</v>
          </cell>
          <cell r="I15">
            <v>31</v>
          </cell>
        </row>
        <row r="16">
          <cell r="B16" t="str">
            <v>Resreach competitors</v>
          </cell>
          <cell r="C16">
            <v>45304</v>
          </cell>
          <cell r="E16" t="str">
            <v>Not started</v>
          </cell>
          <cell r="I16">
            <v>31</v>
          </cell>
        </row>
        <row r="17">
          <cell r="B17" t="str">
            <v>Update social media</v>
          </cell>
          <cell r="C17">
            <v>45302</v>
          </cell>
          <cell r="E17" t="str">
            <v>completed</v>
          </cell>
          <cell r="I17">
            <v>21</v>
          </cell>
        </row>
        <row r="18">
          <cell r="B18" t="str">
            <v>Write blog post</v>
          </cell>
          <cell r="C18">
            <v>45310</v>
          </cell>
          <cell r="E18" t="str">
            <v>Not started</v>
          </cell>
          <cell r="I18">
            <v>31</v>
          </cell>
        </row>
        <row r="19">
          <cell r="B19" t="str">
            <v>Review financial statements</v>
          </cell>
          <cell r="C19">
            <v>45306</v>
          </cell>
          <cell r="E19" t="str">
            <v>inprogress</v>
          </cell>
          <cell r="I19">
            <v>10</v>
          </cell>
        </row>
        <row r="20">
          <cell r="B20" t="str">
            <v>Clean email inbox</v>
          </cell>
          <cell r="C20">
            <v>45304</v>
          </cell>
          <cell r="E20" t="str">
            <v>completed</v>
          </cell>
          <cell r="I20">
            <v>60</v>
          </cell>
        </row>
        <row r="21">
          <cell r="B21" t="str">
            <v>Send newsletter</v>
          </cell>
          <cell r="C21">
            <v>45307</v>
          </cell>
          <cell r="E21" t="str">
            <v>inprogress</v>
          </cell>
          <cell r="I21">
            <v>20</v>
          </cell>
        </row>
        <row r="22">
          <cell r="B22" t="str">
            <v>Confirm event venue</v>
          </cell>
          <cell r="C22">
            <v>45305</v>
          </cell>
          <cell r="E22" t="str">
            <v>Not started</v>
          </cell>
          <cell r="I22">
            <v>10</v>
          </cell>
        </row>
        <row r="23">
          <cell r="B23" t="str">
            <v>Prepare meeting agenda</v>
          </cell>
          <cell r="C23">
            <v>45303</v>
          </cell>
          <cell r="E23" t="str">
            <v>completed</v>
          </cell>
          <cell r="I23">
            <v>18</v>
          </cell>
        </row>
        <row r="24">
          <cell r="B24" t="str">
            <v>Setup project plan</v>
          </cell>
          <cell r="C24">
            <v>45308</v>
          </cell>
          <cell r="E24" t="str">
            <v>Not started</v>
          </cell>
          <cell r="I24">
            <v>10</v>
          </cell>
        </row>
        <row r="25">
          <cell r="B25" t="str">
            <v>Test product feature</v>
          </cell>
          <cell r="C25">
            <v>45309</v>
          </cell>
          <cell r="E25" t="str">
            <v>inprogress</v>
          </cell>
          <cell r="I25">
            <v>14</v>
          </cell>
        </row>
        <row r="26">
          <cell r="B26" t="str">
            <v>Analyse customer feedback</v>
          </cell>
          <cell r="C26">
            <v>45310</v>
          </cell>
          <cell r="E26" t="str">
            <v>Not started</v>
          </cell>
          <cell r="I26">
            <v>31</v>
          </cell>
        </row>
        <row r="27">
          <cell r="B27" t="str">
            <v>schedule team call</v>
          </cell>
          <cell r="C27">
            <v>45311</v>
          </cell>
          <cell r="E27" t="str">
            <v>completed</v>
          </cell>
          <cell r="I27">
            <v>30</v>
          </cell>
        </row>
        <row r="28">
          <cell r="B28" t="str">
            <v>Follow up with supplier</v>
          </cell>
          <cell r="C28">
            <v>45307</v>
          </cell>
          <cell r="E28" t="str">
            <v>inprogress</v>
          </cell>
          <cell r="I28">
            <v>33</v>
          </cell>
        </row>
        <row r="29">
          <cell r="B29" t="str">
            <v>Design business card</v>
          </cell>
          <cell r="C29">
            <v>45304</v>
          </cell>
          <cell r="E29" t="str">
            <v>Not started</v>
          </cell>
          <cell r="I29">
            <v>70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COT" refreshedDate="45843.253376504632" createdVersion="5" refreshedVersion="5" minRefreshableVersion="3" recordCount="101">
  <cacheSource type="worksheet">
    <worksheetSource name="Table3"/>
  </cacheSource>
  <cacheFields count="6">
    <cacheField name="Product_ID" numFmtId="0">
      <sharedItems count="101">
        <s v="fde50f9c-5"/>
        <s v="e221cf14-c"/>
        <s v="b1d2560c-7"/>
        <s v="d384b62b-c"/>
        <s v="d5b42863-c"/>
        <s v="3e56a630-e"/>
        <s v="1dc3b1a0-4"/>
        <s v="cc379a88-b"/>
        <s v="1695a728-0"/>
        <s v="c66354db-6"/>
        <s v="e964198d-7"/>
        <s v="663d067f-2"/>
        <s v="c893a571-b"/>
        <s v="dd1ca92d-a"/>
        <s v="c70fab41-e"/>
        <s v="2257fd97-e"/>
        <s v="3b0a706d-2"/>
        <s v="c40efcc0-2"/>
        <s v="268ce5a6-f"/>
        <s v="cfe90194-b"/>
        <s v="5b91457c-3"/>
        <s v="7f15c4cf-6"/>
        <s v="6b4b6852-a"/>
        <s v="cf9bf8ad-9"/>
        <s v="7ae18ecd-b"/>
        <s v="968716f9-d"/>
        <s v="7b5dd212-c"/>
        <s v="b2969904-5"/>
        <s v="ab7ff487-1"/>
        <s v="65a4da6f-6"/>
        <s v="4263e65c-c"/>
        <s v="16ee2335-1"/>
        <s v="a0e0a691-6"/>
        <s v="da23cfa7-8"/>
        <s v="5fe989c9-0"/>
        <s v="928d77c4-3"/>
        <s v="8d255132-b"/>
        <s v="2cbe2f6f-c"/>
        <s v="9ea32af8-e"/>
        <s v="65ac8845-c"/>
        <s v="93a8561e-7"/>
        <s v="e2cdb444-c"/>
        <s v="1115a4cc-1"/>
        <s v="d2f40c10-8"/>
        <s v="3d8c1bc0-8"/>
        <s v="e570765e-b"/>
        <s v="474c66bf-3"/>
        <s v="118fb0b7-5"/>
        <s v="36d0d0c8-a"/>
        <s v="e5e1cfb0-8"/>
        <s v="8423ce73-6"/>
        <s v="1e180b5a-5"/>
        <s v="35303867-3"/>
        <s v="2b55fe4e-5"/>
        <s v="7bd70763-d"/>
        <s v="8758e2a7-5"/>
        <s v="f6668874-4"/>
        <s v="99f4f73c-d"/>
        <s v="34731d18-b"/>
        <s v="2029492d-a"/>
        <s v="97aa2898-6"/>
        <s v="19694848-0"/>
        <s v="f5929b23-f"/>
        <s v="538ed23f-d"/>
        <s v="c612b025-d"/>
        <s v="d3ede683-9"/>
        <s v="5e1c0286-d"/>
        <s v="5d6d3c17-6"/>
        <s v="25ea4a1f-0"/>
        <s v="dce9a48e-f"/>
        <s v="cfcc5fd6-b"/>
        <s v="4c798c68-9"/>
        <s v="f5819e74-0"/>
        <s v="6d05da53-3"/>
        <s v="7438ea1f-c"/>
        <s v="1ff000e0-e"/>
        <s v="51f72692-9"/>
        <s v="919c0e4d-0"/>
        <s v="73bb6de8-1"/>
        <s v="31dd646d-7"/>
        <s v="b8455d97-7"/>
        <s v="f4193c4a-2"/>
        <s v="5024d38a-c"/>
        <s v="c385a9e4-c"/>
        <s v="2ad69764-b"/>
        <s v="33850590-0"/>
        <s v="fbe1be6d-3"/>
        <s v="95d60434-e"/>
        <s v="1d45530e-f"/>
        <s v="68365458-0"/>
        <s v="ceab308d-f"/>
        <s v="d45a02f8-3"/>
        <s v="0ae87429-2"/>
        <s v="1859fc40-2"/>
        <s v="eb398faf-6"/>
        <s v="c4f71922-a"/>
        <s v="0412d7ff-f"/>
        <s v="158fd3b5-2"/>
        <s v="32f4abf1-e"/>
        <s v="afd38630-0"/>
        <s v="33d1d69e-5"/>
      </sharedItems>
    </cacheField>
    <cacheField name="Category" numFmtId="0">
      <sharedItems count="7">
        <s v="Clothing"/>
        <s v="Beauty"/>
        <s v="Home &amp; Kitchen"/>
        <s v="Toys"/>
        <s v="Electronics"/>
        <s v="Books"/>
        <s v="Sports"/>
      </sharedItems>
    </cacheField>
    <cacheField name="Price (Rs.)" numFmtId="0">
      <sharedItems containsSemiMixedTypes="0" containsString="0" containsNumber="1" minValue="20.309999999999999" maxValue="498.37"/>
    </cacheField>
    <cacheField name="Discount (%)" numFmtId="0">
      <sharedItems containsSemiMixedTypes="0" containsString="0" containsNumber="1" containsInteger="1" minValue="0" maxValue="50" count="8">
        <n v="20"/>
        <n v="15"/>
        <n v="0"/>
        <n v="25"/>
        <n v="10"/>
        <n v="50"/>
        <n v="5"/>
        <n v="30"/>
      </sharedItems>
    </cacheField>
    <cacheField name="Final_Price(Rs.)" numFmtId="0">
      <sharedItems containsSemiMixedTypes="0" containsString="0" containsNumber="1" minValue="17.07" maxValue="470.33" count="101">
        <n v="186.23"/>
        <n v="334.7"/>
        <n v="351.87"/>
        <n v="209.08"/>
        <n v="78.819999999999993"/>
        <n v="81.099999999999994"/>
        <n v="441.69"/>
        <n v="94.03"/>
        <n v="303.33"/>
        <n v="363.06"/>
        <n v="234.13"/>
        <n v="275.33999999999997"/>
        <n v="232.99"/>
        <n v="107.72"/>
        <n v="232.25"/>
        <n v="34.74"/>
        <n v="81.180000000000007"/>
        <n v="83.63"/>
        <n v="291.08"/>
        <n v="244.35"/>
        <n v="94.93"/>
        <n v="236.7"/>
        <n v="414.8"/>
        <n v="470.33"/>
        <n v="49.98"/>
        <n v="193.26"/>
        <n v="255"/>
        <n v="345.22"/>
        <n v="295.41000000000003"/>
        <n v="350.3"/>
        <n v="229.4"/>
        <n v="430.43"/>
        <n v="266.2"/>
        <n v="17.07"/>
        <n v="50.52"/>
        <n v="294.60000000000002"/>
        <n v="219.72"/>
        <n v="369.15"/>
        <n v="80.05"/>
        <n v="191.81"/>
        <n v="308.52"/>
        <n v="179.89"/>
        <n v="302.08"/>
        <n v="395.46"/>
        <n v="126.66"/>
        <n v="129.31"/>
        <n v="104.7"/>
        <n v="77.510000000000005"/>
        <n v="410.5"/>
        <n v="105.83"/>
        <n v="105.98"/>
        <n v="59.74"/>
        <n v="373.84"/>
        <n v="205.3"/>
        <n v="377.59"/>
        <n v="410.96"/>
        <n v="214.78"/>
        <n v="461.84"/>
        <n v="44.29"/>
        <n v="346.24"/>
        <n v="448.53"/>
        <n v="100.26"/>
        <n v="250.46"/>
        <n v="169.19"/>
        <n v="295.48"/>
        <n v="65.7"/>
        <n v="450.9"/>
        <n v="330.38"/>
        <n v="407.59"/>
        <n v="266.57"/>
        <n v="249.43"/>
        <n v="86.1"/>
        <n v="163.52000000000001"/>
        <n v="121.94"/>
        <n v="268.14"/>
        <n v="190.6"/>
        <n v="372.65"/>
        <n v="315.88"/>
        <n v="145.47"/>
        <n v="122.36"/>
        <n v="183.9"/>
        <n v="384.61"/>
        <n v="19.29"/>
        <n v="287.77"/>
        <n v="386.19"/>
        <n v="280.17"/>
        <n v="312.22000000000003"/>
        <n v="211.31"/>
        <n v="332.89"/>
        <n v="120.25"/>
        <n v="182.93"/>
        <n v="191.44"/>
        <n v="152.66"/>
        <n v="200.74"/>
        <n v="239.66"/>
        <n v="112.28"/>
        <n v="67.39"/>
        <n v="236.53"/>
        <n v="206.28"/>
        <n v="207.43"/>
        <n v="82.84"/>
      </sharedItems>
    </cacheField>
    <cacheField name="Payment_Method" numFmtId="0">
      <sharedItems count="5">
        <s v="Net Banking"/>
        <s v="Cash on Delivery"/>
        <s v="Debit Card"/>
        <s v="UPI"/>
        <s v="Credit Car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x v="0"/>
    <n v="232.79"/>
    <x v="0"/>
    <x v="0"/>
    <x v="0"/>
  </r>
  <r>
    <x v="1"/>
    <x v="1"/>
    <n v="393.77"/>
    <x v="1"/>
    <x v="1"/>
    <x v="1"/>
  </r>
  <r>
    <x v="2"/>
    <x v="2"/>
    <n v="351.87"/>
    <x v="2"/>
    <x v="2"/>
    <x v="0"/>
  </r>
  <r>
    <x v="3"/>
    <x v="3"/>
    <n v="245.98"/>
    <x v="1"/>
    <x v="3"/>
    <x v="1"/>
  </r>
  <r>
    <x v="4"/>
    <x v="3"/>
    <n v="105.1"/>
    <x v="3"/>
    <x v="4"/>
    <x v="0"/>
  </r>
  <r>
    <x v="5"/>
    <x v="0"/>
    <n v="95.41"/>
    <x v="1"/>
    <x v="5"/>
    <x v="2"/>
  </r>
  <r>
    <x v="6"/>
    <x v="0"/>
    <n v="490.77"/>
    <x v="4"/>
    <x v="6"/>
    <x v="3"/>
  </r>
  <r>
    <x v="7"/>
    <x v="4"/>
    <n v="188.07"/>
    <x v="5"/>
    <x v="7"/>
    <x v="2"/>
  </r>
  <r>
    <x v="8"/>
    <x v="2"/>
    <n v="319.29000000000002"/>
    <x v="6"/>
    <x v="8"/>
    <x v="4"/>
  </r>
  <r>
    <x v="9"/>
    <x v="3"/>
    <n v="403.4"/>
    <x v="4"/>
    <x v="9"/>
    <x v="0"/>
  </r>
  <r>
    <x v="10"/>
    <x v="3"/>
    <n v="334.47"/>
    <x v="7"/>
    <x v="10"/>
    <x v="2"/>
  </r>
  <r>
    <x v="11"/>
    <x v="2"/>
    <n v="305.93"/>
    <x v="4"/>
    <x v="11"/>
    <x v="1"/>
  </r>
  <r>
    <x v="12"/>
    <x v="2"/>
    <n v="274.11"/>
    <x v="1"/>
    <x v="12"/>
    <x v="4"/>
  </r>
  <r>
    <x v="13"/>
    <x v="2"/>
    <n v="215.44"/>
    <x v="5"/>
    <x v="13"/>
    <x v="3"/>
  </r>
  <r>
    <x v="14"/>
    <x v="5"/>
    <n v="309.67"/>
    <x v="3"/>
    <x v="14"/>
    <x v="3"/>
  </r>
  <r>
    <x v="15"/>
    <x v="0"/>
    <n v="40.869999999999997"/>
    <x v="1"/>
    <x v="15"/>
    <x v="0"/>
  </r>
  <r>
    <x v="16"/>
    <x v="0"/>
    <n v="90.2"/>
    <x v="4"/>
    <x v="16"/>
    <x v="2"/>
  </r>
  <r>
    <x v="17"/>
    <x v="0"/>
    <n v="92.92"/>
    <x v="4"/>
    <x v="17"/>
    <x v="4"/>
  </r>
  <r>
    <x v="18"/>
    <x v="3"/>
    <n v="388.1"/>
    <x v="3"/>
    <x v="18"/>
    <x v="1"/>
  </r>
  <r>
    <x v="19"/>
    <x v="3"/>
    <n v="257.20999999999998"/>
    <x v="6"/>
    <x v="19"/>
    <x v="3"/>
  </r>
  <r>
    <x v="20"/>
    <x v="5"/>
    <n v="135.62"/>
    <x v="7"/>
    <x v="20"/>
    <x v="3"/>
  </r>
  <r>
    <x v="21"/>
    <x v="1"/>
    <n v="236.7"/>
    <x v="2"/>
    <x v="21"/>
    <x v="1"/>
  </r>
  <r>
    <x v="22"/>
    <x v="2"/>
    <n v="460.89"/>
    <x v="4"/>
    <x v="22"/>
    <x v="2"/>
  </r>
  <r>
    <x v="23"/>
    <x v="1"/>
    <n v="470.33"/>
    <x v="2"/>
    <x v="23"/>
    <x v="4"/>
  </r>
  <r>
    <x v="24"/>
    <x v="3"/>
    <n v="62.48"/>
    <x v="0"/>
    <x v="24"/>
    <x v="3"/>
  </r>
  <r>
    <x v="25"/>
    <x v="2"/>
    <n v="203.43"/>
    <x v="6"/>
    <x v="25"/>
    <x v="2"/>
  </r>
  <r>
    <x v="26"/>
    <x v="5"/>
    <n v="268.42"/>
    <x v="6"/>
    <x v="26"/>
    <x v="4"/>
  </r>
  <r>
    <x v="27"/>
    <x v="0"/>
    <n v="383.58"/>
    <x v="4"/>
    <x v="27"/>
    <x v="3"/>
  </r>
  <r>
    <x v="28"/>
    <x v="5"/>
    <n v="422.02"/>
    <x v="7"/>
    <x v="28"/>
    <x v="2"/>
  </r>
  <r>
    <x v="29"/>
    <x v="1"/>
    <n v="368.74"/>
    <x v="6"/>
    <x v="29"/>
    <x v="3"/>
  </r>
  <r>
    <x v="30"/>
    <x v="1"/>
    <n v="458.8"/>
    <x v="5"/>
    <x v="30"/>
    <x v="0"/>
  </r>
  <r>
    <x v="31"/>
    <x v="2"/>
    <n v="430.43"/>
    <x v="2"/>
    <x v="31"/>
    <x v="3"/>
  </r>
  <r>
    <x v="32"/>
    <x v="1"/>
    <n v="266.2"/>
    <x v="2"/>
    <x v="32"/>
    <x v="3"/>
  </r>
  <r>
    <x v="33"/>
    <x v="4"/>
    <n v="34.130000000000003"/>
    <x v="5"/>
    <x v="33"/>
    <x v="1"/>
  </r>
  <r>
    <x v="34"/>
    <x v="6"/>
    <n v="67.36"/>
    <x v="3"/>
    <x v="34"/>
    <x v="0"/>
  </r>
  <r>
    <x v="35"/>
    <x v="5"/>
    <n v="368.25"/>
    <x v="0"/>
    <x v="35"/>
    <x v="4"/>
  </r>
  <r>
    <x v="36"/>
    <x v="6"/>
    <n v="274.64999999999998"/>
    <x v="0"/>
    <x v="36"/>
    <x v="2"/>
  </r>
  <r>
    <x v="37"/>
    <x v="4"/>
    <n v="369.15"/>
    <x v="2"/>
    <x v="37"/>
    <x v="4"/>
  </r>
  <r>
    <x v="38"/>
    <x v="0"/>
    <n v="84.26"/>
    <x v="6"/>
    <x v="38"/>
    <x v="1"/>
  </r>
  <r>
    <x v="39"/>
    <x v="5"/>
    <n v="255.74"/>
    <x v="3"/>
    <x v="39"/>
    <x v="3"/>
  </r>
  <r>
    <x v="40"/>
    <x v="6"/>
    <n v="440.74"/>
    <x v="7"/>
    <x v="40"/>
    <x v="1"/>
  </r>
  <r>
    <x v="41"/>
    <x v="1"/>
    <n v="199.88"/>
    <x v="4"/>
    <x v="41"/>
    <x v="0"/>
  </r>
  <r>
    <x v="42"/>
    <x v="6"/>
    <n v="317.98"/>
    <x v="6"/>
    <x v="42"/>
    <x v="4"/>
  </r>
  <r>
    <x v="43"/>
    <x v="6"/>
    <n v="439.4"/>
    <x v="4"/>
    <x v="43"/>
    <x v="1"/>
  </r>
  <r>
    <x v="44"/>
    <x v="3"/>
    <n v="133.33000000000001"/>
    <x v="6"/>
    <x v="44"/>
    <x v="4"/>
  </r>
  <r>
    <x v="45"/>
    <x v="4"/>
    <n v="143.68"/>
    <x v="4"/>
    <x v="45"/>
    <x v="3"/>
  </r>
  <r>
    <x v="46"/>
    <x v="1"/>
    <n v="209.41"/>
    <x v="5"/>
    <x v="46"/>
    <x v="0"/>
  </r>
  <r>
    <x v="47"/>
    <x v="2"/>
    <n v="110.73"/>
    <x v="7"/>
    <x v="47"/>
    <x v="1"/>
  </r>
  <r>
    <x v="48"/>
    <x v="3"/>
    <n v="432.1"/>
    <x v="6"/>
    <x v="48"/>
    <x v="0"/>
  </r>
  <r>
    <x v="49"/>
    <x v="5"/>
    <n v="211.67"/>
    <x v="5"/>
    <x v="49"/>
    <x v="0"/>
  </r>
  <r>
    <x v="50"/>
    <x v="2"/>
    <n v="132.47999999999999"/>
    <x v="0"/>
    <x v="50"/>
    <x v="3"/>
  </r>
  <r>
    <x v="51"/>
    <x v="0"/>
    <n v="74.67"/>
    <x v="0"/>
    <x v="51"/>
    <x v="1"/>
  </r>
  <r>
    <x v="52"/>
    <x v="5"/>
    <n v="439.81"/>
    <x v="1"/>
    <x v="52"/>
    <x v="0"/>
  </r>
  <r>
    <x v="53"/>
    <x v="1"/>
    <n v="293.27999999999997"/>
    <x v="7"/>
    <x v="53"/>
    <x v="0"/>
  </r>
  <r>
    <x v="54"/>
    <x v="6"/>
    <n v="419.54"/>
    <x v="4"/>
    <x v="54"/>
    <x v="1"/>
  </r>
  <r>
    <x v="55"/>
    <x v="3"/>
    <n v="483.48"/>
    <x v="1"/>
    <x v="55"/>
    <x v="1"/>
  </r>
  <r>
    <x v="56"/>
    <x v="5"/>
    <n v="286.37"/>
    <x v="3"/>
    <x v="56"/>
    <x v="2"/>
  </r>
  <r>
    <x v="57"/>
    <x v="6"/>
    <n v="486.15"/>
    <x v="6"/>
    <x v="57"/>
    <x v="0"/>
  </r>
  <r>
    <x v="58"/>
    <x v="0"/>
    <n v="44.29"/>
    <x v="2"/>
    <x v="58"/>
    <x v="4"/>
  </r>
  <r>
    <x v="59"/>
    <x v="4"/>
    <n v="384.71"/>
    <x v="4"/>
    <x v="59"/>
    <x v="3"/>
  </r>
  <r>
    <x v="60"/>
    <x v="3"/>
    <n v="498.37"/>
    <x v="4"/>
    <x v="60"/>
    <x v="4"/>
  </r>
  <r>
    <x v="61"/>
    <x v="6"/>
    <n v="117.95"/>
    <x v="1"/>
    <x v="61"/>
    <x v="4"/>
  </r>
  <r>
    <x v="62"/>
    <x v="4"/>
    <n v="294.66000000000003"/>
    <x v="1"/>
    <x v="62"/>
    <x v="0"/>
  </r>
  <r>
    <x v="63"/>
    <x v="6"/>
    <n v="225.59"/>
    <x v="3"/>
    <x v="63"/>
    <x v="0"/>
  </r>
  <r>
    <x v="64"/>
    <x v="3"/>
    <n v="328.31"/>
    <x v="4"/>
    <x v="64"/>
    <x v="4"/>
  </r>
  <r>
    <x v="65"/>
    <x v="2"/>
    <n v="87.6"/>
    <x v="3"/>
    <x v="65"/>
    <x v="3"/>
  </r>
  <r>
    <x v="66"/>
    <x v="0"/>
    <n v="474.63"/>
    <x v="6"/>
    <x v="66"/>
    <x v="0"/>
  </r>
  <r>
    <x v="67"/>
    <x v="4"/>
    <n v="412.98"/>
    <x v="0"/>
    <x v="67"/>
    <x v="2"/>
  </r>
  <r>
    <x v="68"/>
    <x v="5"/>
    <n v="479.52"/>
    <x v="1"/>
    <x v="68"/>
    <x v="3"/>
  </r>
  <r>
    <x v="69"/>
    <x v="0"/>
    <n v="355.43"/>
    <x v="3"/>
    <x v="69"/>
    <x v="3"/>
  </r>
  <r>
    <x v="70"/>
    <x v="5"/>
    <n v="277.14"/>
    <x v="4"/>
    <x v="70"/>
    <x v="3"/>
  </r>
  <r>
    <x v="71"/>
    <x v="1"/>
    <n v="101.29"/>
    <x v="1"/>
    <x v="71"/>
    <x v="3"/>
  </r>
  <r>
    <x v="72"/>
    <x v="5"/>
    <n v="181.69"/>
    <x v="4"/>
    <x v="72"/>
    <x v="2"/>
  </r>
  <r>
    <x v="73"/>
    <x v="3"/>
    <n v="152.43"/>
    <x v="0"/>
    <x v="73"/>
    <x v="2"/>
  </r>
  <r>
    <x v="74"/>
    <x v="5"/>
    <n v="268.14"/>
    <x v="2"/>
    <x v="74"/>
    <x v="2"/>
  </r>
  <r>
    <x v="75"/>
    <x v="0"/>
    <n v="200.63"/>
    <x v="6"/>
    <x v="75"/>
    <x v="1"/>
  </r>
  <r>
    <x v="76"/>
    <x v="2"/>
    <n v="392.26"/>
    <x v="6"/>
    <x v="76"/>
    <x v="0"/>
  </r>
  <r>
    <x v="77"/>
    <x v="4"/>
    <n v="451.25"/>
    <x v="7"/>
    <x v="77"/>
    <x v="0"/>
  </r>
  <r>
    <x v="78"/>
    <x v="4"/>
    <n v="153.13"/>
    <x v="6"/>
    <x v="78"/>
    <x v="4"/>
  </r>
  <r>
    <x v="79"/>
    <x v="0"/>
    <n v="244.73"/>
    <x v="5"/>
    <x v="79"/>
    <x v="3"/>
  </r>
  <r>
    <x v="80"/>
    <x v="6"/>
    <n v="204.33"/>
    <x v="4"/>
    <x v="80"/>
    <x v="4"/>
  </r>
  <r>
    <x v="81"/>
    <x v="4"/>
    <n v="384.61"/>
    <x v="2"/>
    <x v="81"/>
    <x v="3"/>
  </r>
  <r>
    <x v="82"/>
    <x v="3"/>
    <n v="20.309999999999999"/>
    <x v="6"/>
    <x v="82"/>
    <x v="0"/>
  </r>
  <r>
    <x v="83"/>
    <x v="3"/>
    <n v="411.1"/>
    <x v="7"/>
    <x v="83"/>
    <x v="1"/>
  </r>
  <r>
    <x v="84"/>
    <x v="3"/>
    <n v="482.74"/>
    <x v="0"/>
    <x v="84"/>
    <x v="1"/>
  </r>
  <r>
    <x v="85"/>
    <x v="3"/>
    <n v="400.25"/>
    <x v="7"/>
    <x v="85"/>
    <x v="4"/>
  </r>
  <r>
    <x v="86"/>
    <x v="3"/>
    <n v="416.29"/>
    <x v="3"/>
    <x v="86"/>
    <x v="3"/>
  </r>
  <r>
    <x v="87"/>
    <x v="3"/>
    <n v="422.63"/>
    <x v="5"/>
    <x v="87"/>
    <x v="3"/>
  </r>
  <r>
    <x v="88"/>
    <x v="5"/>
    <n v="332.89"/>
    <x v="2"/>
    <x v="88"/>
    <x v="0"/>
  </r>
  <r>
    <x v="89"/>
    <x v="6"/>
    <n v="133.61000000000001"/>
    <x v="4"/>
    <x v="89"/>
    <x v="1"/>
  </r>
  <r>
    <x v="90"/>
    <x v="4"/>
    <n v="261.33"/>
    <x v="7"/>
    <x v="90"/>
    <x v="4"/>
  </r>
  <r>
    <x v="91"/>
    <x v="5"/>
    <n v="255.26"/>
    <x v="3"/>
    <x v="91"/>
    <x v="0"/>
  </r>
  <r>
    <x v="92"/>
    <x v="4"/>
    <n v="203.54"/>
    <x v="3"/>
    <x v="92"/>
    <x v="3"/>
  </r>
  <r>
    <x v="93"/>
    <x v="5"/>
    <n v="236.16"/>
    <x v="1"/>
    <x v="93"/>
    <x v="0"/>
  </r>
  <r>
    <x v="94"/>
    <x v="4"/>
    <n v="319.55"/>
    <x v="3"/>
    <x v="94"/>
    <x v="3"/>
  </r>
  <r>
    <x v="95"/>
    <x v="4"/>
    <n v="224.56"/>
    <x v="5"/>
    <x v="95"/>
    <x v="1"/>
  </r>
  <r>
    <x v="96"/>
    <x v="4"/>
    <n v="96.27"/>
    <x v="7"/>
    <x v="96"/>
    <x v="4"/>
  </r>
  <r>
    <x v="97"/>
    <x v="2"/>
    <n v="473.05"/>
    <x v="5"/>
    <x v="97"/>
    <x v="0"/>
  </r>
  <r>
    <x v="98"/>
    <x v="4"/>
    <n v="412.56"/>
    <x v="5"/>
    <x v="98"/>
    <x v="0"/>
  </r>
  <r>
    <x v="99"/>
    <x v="5"/>
    <n v="414.86"/>
    <x v="5"/>
    <x v="99"/>
    <x v="0"/>
  </r>
  <r>
    <x v="100"/>
    <x v="4"/>
    <n v="87.2"/>
    <x v="6"/>
    <x v="10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:I112" firstHeaderRow="1" firstDataRow="2" firstDataCol="1"/>
  <pivotFields count="6">
    <pivotField axis="axisRow" showAll="0">
      <items count="102">
        <item x="96"/>
        <item x="92"/>
        <item x="42"/>
        <item x="47"/>
        <item x="97"/>
        <item x="8"/>
        <item x="31"/>
        <item x="93"/>
        <item x="61"/>
        <item x="88"/>
        <item x="6"/>
        <item x="51"/>
        <item x="75"/>
        <item x="59"/>
        <item x="15"/>
        <item x="68"/>
        <item x="18"/>
        <item x="84"/>
        <item x="53"/>
        <item x="37"/>
        <item x="79"/>
        <item x="98"/>
        <item x="85"/>
        <item x="100"/>
        <item x="58"/>
        <item x="52"/>
        <item x="48"/>
        <item x="16"/>
        <item x="44"/>
        <item x="5"/>
        <item x="30"/>
        <item x="46"/>
        <item x="71"/>
        <item x="82"/>
        <item x="76"/>
        <item x="63"/>
        <item x="20"/>
        <item x="67"/>
        <item x="66"/>
        <item x="34"/>
        <item x="29"/>
        <item x="39"/>
        <item x="11"/>
        <item x="89"/>
        <item x="22"/>
        <item x="73"/>
        <item x="78"/>
        <item x="74"/>
        <item x="24"/>
        <item x="26"/>
        <item x="54"/>
        <item x="21"/>
        <item x="50"/>
        <item x="55"/>
        <item x="36"/>
        <item x="77"/>
        <item x="35"/>
        <item x="40"/>
        <item x="87"/>
        <item x="25"/>
        <item x="60"/>
        <item x="57"/>
        <item x="38"/>
        <item x="32"/>
        <item x="28"/>
        <item x="99"/>
        <item x="2"/>
        <item x="27"/>
        <item x="80"/>
        <item x="83"/>
        <item x="17"/>
        <item x="95"/>
        <item x="64"/>
        <item x="9"/>
        <item x="14"/>
        <item x="12"/>
        <item x="7"/>
        <item x="90"/>
        <item x="23"/>
        <item x="70"/>
        <item x="19"/>
        <item x="43"/>
        <item x="3"/>
        <item x="65"/>
        <item x="91"/>
        <item x="4"/>
        <item x="33"/>
        <item x="69"/>
        <item x="13"/>
        <item x="1"/>
        <item x="41"/>
        <item x="45"/>
        <item x="49"/>
        <item x="10"/>
        <item x="94"/>
        <item x="81"/>
        <item x="72"/>
        <item x="62"/>
        <item x="56"/>
        <item x="86"/>
        <item x="0"/>
        <item t="default"/>
      </items>
    </pivotField>
    <pivotField axis="axisCol" showAll="0">
      <items count="8">
        <item x="1"/>
        <item x="5"/>
        <item x="0"/>
        <item x="4"/>
        <item x="2"/>
        <item x="6"/>
        <item x="3"/>
        <item t="default"/>
      </items>
    </pivotField>
    <pivotField dataField="1" showAll="0"/>
    <pivotField showAll="0"/>
    <pivotField showAll="0">
      <items count="102">
        <item x="33"/>
        <item x="82"/>
        <item x="15"/>
        <item x="58"/>
        <item x="24"/>
        <item x="34"/>
        <item x="51"/>
        <item x="65"/>
        <item x="96"/>
        <item x="47"/>
        <item x="4"/>
        <item x="38"/>
        <item x="5"/>
        <item x="16"/>
        <item x="100"/>
        <item x="17"/>
        <item x="71"/>
        <item x="7"/>
        <item x="20"/>
        <item x="61"/>
        <item x="46"/>
        <item x="49"/>
        <item x="50"/>
        <item x="13"/>
        <item x="95"/>
        <item x="89"/>
        <item x="73"/>
        <item x="79"/>
        <item x="44"/>
        <item x="45"/>
        <item x="78"/>
        <item x="92"/>
        <item x="72"/>
        <item x="63"/>
        <item x="41"/>
        <item x="90"/>
        <item x="80"/>
        <item x="0"/>
        <item x="75"/>
        <item x="91"/>
        <item x="39"/>
        <item x="25"/>
        <item x="93"/>
        <item x="53"/>
        <item x="98"/>
        <item x="99"/>
        <item x="3"/>
        <item x="87"/>
        <item x="56"/>
        <item x="36"/>
        <item x="30"/>
        <item x="14"/>
        <item x="12"/>
        <item x="10"/>
        <item x="97"/>
        <item x="21"/>
        <item x="94"/>
        <item x="19"/>
        <item x="70"/>
        <item x="62"/>
        <item x="26"/>
        <item x="32"/>
        <item x="69"/>
        <item x="74"/>
        <item x="11"/>
        <item x="85"/>
        <item x="83"/>
        <item x="18"/>
        <item x="35"/>
        <item x="28"/>
        <item x="64"/>
        <item x="42"/>
        <item x="8"/>
        <item x="40"/>
        <item x="86"/>
        <item x="77"/>
        <item x="67"/>
        <item x="88"/>
        <item x="1"/>
        <item x="27"/>
        <item x="59"/>
        <item x="29"/>
        <item x="2"/>
        <item x="9"/>
        <item x="37"/>
        <item x="76"/>
        <item x="52"/>
        <item x="54"/>
        <item x="81"/>
        <item x="84"/>
        <item x="43"/>
        <item x="68"/>
        <item x="48"/>
        <item x="55"/>
        <item x="22"/>
        <item x="31"/>
        <item x="6"/>
        <item x="60"/>
        <item x="66"/>
        <item x="57"/>
        <item x="23"/>
        <item t="default"/>
      </items>
    </pivotField>
    <pivotField axis="axisRow" showAll="0">
      <items count="6">
        <item x="1"/>
        <item x="4"/>
        <item x="2"/>
        <item x="0"/>
        <item x="3"/>
        <item t="default"/>
      </items>
    </pivotField>
  </pivotFields>
  <rowFields count="2">
    <field x="5"/>
    <field x="0"/>
  </rowFields>
  <rowItems count="107">
    <i>
      <x/>
    </i>
    <i r="1">
      <x v="3"/>
    </i>
    <i r="1">
      <x v="11"/>
    </i>
    <i r="1">
      <x v="12"/>
    </i>
    <i r="1">
      <x v="16"/>
    </i>
    <i r="1">
      <x v="17"/>
    </i>
    <i r="1">
      <x v="42"/>
    </i>
    <i r="1">
      <x v="43"/>
    </i>
    <i r="1">
      <x v="50"/>
    </i>
    <i r="1">
      <x v="51"/>
    </i>
    <i r="1">
      <x v="53"/>
    </i>
    <i r="1">
      <x v="57"/>
    </i>
    <i r="1">
      <x v="62"/>
    </i>
    <i r="1">
      <x v="69"/>
    </i>
    <i r="1">
      <x v="71"/>
    </i>
    <i r="1">
      <x v="81"/>
    </i>
    <i r="1">
      <x v="82"/>
    </i>
    <i r="1">
      <x v="86"/>
    </i>
    <i r="1">
      <x v="89"/>
    </i>
    <i>
      <x v="1"/>
    </i>
    <i r="1">
      <x/>
    </i>
    <i r="1">
      <x v="2"/>
    </i>
    <i r="1">
      <x v="5"/>
    </i>
    <i r="1">
      <x v="8"/>
    </i>
    <i r="1">
      <x v="19"/>
    </i>
    <i r="1">
      <x v="22"/>
    </i>
    <i r="1">
      <x v="24"/>
    </i>
    <i r="1">
      <x v="28"/>
    </i>
    <i r="1">
      <x v="46"/>
    </i>
    <i r="1">
      <x v="49"/>
    </i>
    <i r="1">
      <x v="56"/>
    </i>
    <i r="1">
      <x v="60"/>
    </i>
    <i r="1">
      <x v="68"/>
    </i>
    <i r="1">
      <x v="70"/>
    </i>
    <i r="1">
      <x v="72"/>
    </i>
    <i r="1">
      <x v="75"/>
    </i>
    <i r="1">
      <x v="77"/>
    </i>
    <i r="1">
      <x v="78"/>
    </i>
    <i>
      <x v="2"/>
    </i>
    <i r="1">
      <x v="27"/>
    </i>
    <i r="1">
      <x v="29"/>
    </i>
    <i r="1">
      <x v="37"/>
    </i>
    <i r="1">
      <x v="44"/>
    </i>
    <i r="1">
      <x v="45"/>
    </i>
    <i r="1">
      <x v="47"/>
    </i>
    <i r="1">
      <x v="54"/>
    </i>
    <i r="1">
      <x v="59"/>
    </i>
    <i r="1">
      <x v="64"/>
    </i>
    <i r="1">
      <x v="76"/>
    </i>
    <i r="1">
      <x v="93"/>
    </i>
    <i r="1">
      <x v="96"/>
    </i>
    <i r="1">
      <x v="98"/>
    </i>
    <i>
      <x v="3"/>
    </i>
    <i r="1">
      <x v="4"/>
    </i>
    <i r="1">
      <x v="7"/>
    </i>
    <i r="1">
      <x v="9"/>
    </i>
    <i r="1">
      <x v="14"/>
    </i>
    <i r="1">
      <x v="18"/>
    </i>
    <i r="1">
      <x v="21"/>
    </i>
    <i r="1">
      <x v="25"/>
    </i>
    <i r="1">
      <x v="26"/>
    </i>
    <i r="1">
      <x v="30"/>
    </i>
    <i r="1">
      <x v="31"/>
    </i>
    <i r="1">
      <x v="33"/>
    </i>
    <i r="1">
      <x v="34"/>
    </i>
    <i r="1">
      <x v="35"/>
    </i>
    <i r="1">
      <x v="38"/>
    </i>
    <i r="1">
      <x v="39"/>
    </i>
    <i r="1">
      <x v="55"/>
    </i>
    <i r="1">
      <x v="61"/>
    </i>
    <i r="1">
      <x v="65"/>
    </i>
    <i r="1">
      <x v="66"/>
    </i>
    <i r="1">
      <x v="73"/>
    </i>
    <i r="1">
      <x v="84"/>
    </i>
    <i r="1">
      <x v="85"/>
    </i>
    <i r="1">
      <x v="90"/>
    </i>
    <i r="1">
      <x v="92"/>
    </i>
    <i r="1">
      <x v="97"/>
    </i>
    <i r="1">
      <x v="100"/>
    </i>
    <i>
      <x v="4"/>
    </i>
    <i r="1">
      <x v="1"/>
    </i>
    <i r="1">
      <x v="6"/>
    </i>
    <i r="1">
      <x v="10"/>
    </i>
    <i r="1">
      <x v="13"/>
    </i>
    <i r="1">
      <x v="15"/>
    </i>
    <i r="1">
      <x v="20"/>
    </i>
    <i r="1">
      <x v="23"/>
    </i>
    <i r="1">
      <x v="32"/>
    </i>
    <i r="1">
      <x v="36"/>
    </i>
    <i r="1">
      <x v="40"/>
    </i>
    <i r="1">
      <x v="41"/>
    </i>
    <i r="1">
      <x v="48"/>
    </i>
    <i r="1">
      <x v="52"/>
    </i>
    <i r="1">
      <x v="58"/>
    </i>
    <i r="1">
      <x v="63"/>
    </i>
    <i r="1">
      <x v="67"/>
    </i>
    <i r="1">
      <x v="74"/>
    </i>
    <i r="1">
      <x v="79"/>
    </i>
    <i r="1">
      <x v="80"/>
    </i>
    <i r="1">
      <x v="83"/>
    </i>
    <i r="1">
      <x v="87"/>
    </i>
    <i r="1">
      <x v="88"/>
    </i>
    <i r="1">
      <x v="91"/>
    </i>
    <i r="1">
      <x v="94"/>
    </i>
    <i r="1">
      <x v="95"/>
    </i>
    <i r="1">
      <x v="99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Price (Rs.)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3" displayName="Table3" ref="A1:F102" totalsRowShown="0" headerRowDxfId="20">
  <autoFilter ref="A1:F10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Product_ID"/>
    <tableColumn id="2" name="Category"/>
    <tableColumn id="3" name="Price (Rs.)"/>
    <tableColumn id="4" name="Discount (%)"/>
    <tableColumn id="5" name="Final_Price(Rs.)"/>
    <tableColumn id="6" name="Payment_Method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A1:F102" totalsRowShown="0" headerRowDxfId="19">
  <autoFilter ref="A1:F102"/>
  <sortState ref="A5:F89">
    <sortCondition ref="A1:A102"/>
  </sortState>
  <tableColumns count="6">
    <tableColumn id="1" name="Product_ID"/>
    <tableColumn id="2" name="Category"/>
    <tableColumn id="3" name="Price (Rs.)"/>
    <tableColumn id="4" name="Discount (%)" dataCellStyle="Percent"/>
    <tableColumn id="5" name="Final_Price(Rs.)"/>
    <tableColumn id="6" name="Payment_Method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" name="Table33" displayName="Table33" ref="A1:F102" totalsRowShown="0" headerRowDxfId="18">
  <autoFilter ref="A1:F102"/>
  <tableColumns count="6">
    <tableColumn id="1" name="Product_ID"/>
    <tableColumn id="2" name="Category"/>
    <tableColumn id="3" name="Price (Rs.)"/>
    <tableColumn id="4" name="Discount (%)"/>
    <tableColumn id="5" name="Final_Price(Rs.)"/>
    <tableColumn id="6" name="Payment_Method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3:D20" totalsRowShown="0" headerRowDxfId="13">
  <autoFilter ref="A3:D20">
    <filterColumn colId="0" hiddenButton="1"/>
    <filterColumn colId="1" hiddenButton="1"/>
    <filterColumn colId="2" hiddenButton="1"/>
    <filterColumn colId="3" hiddenButton="1"/>
  </autoFilter>
  <tableColumns count="4">
    <tableColumn id="1" name="sales person"/>
    <tableColumn id="2" name="product" dataDxfId="14"/>
    <tableColumn id="3" name="units"/>
    <tableColumn id="4" name="sales amount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J3:O8" totalsRowShown="0">
  <autoFilter ref="J3:O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UBJECT"/>
    <tableColumn id="2" name="SANDHIYA"/>
    <tableColumn id="3" name="GAYATHRI"/>
    <tableColumn id="4" name="SAKTHI"/>
    <tableColumn id="5" name="MUTHU"/>
    <tableColumn id="6" name="JEEVITH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K6:L12" headerRowCount="0" totalsRowShown="0">
  <tableColumns count="2">
    <tableColumn id="1" name="Column1"/>
    <tableColumn id="2" name="Column2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5" name="Table5" displayName="Table5" ref="A1:I29" totalsRowShown="0">
  <autoFilter ref="A1:I29"/>
  <tableColumns count="9">
    <tableColumn id="1" name="Task ID"/>
    <tableColumn id="2" name="Task name"/>
    <tableColumn id="3" name="start date" dataDxfId="17"/>
    <tableColumn id="4" name="Priority"/>
    <tableColumn id="5" name="Status"/>
    <tableColumn id="6" name="Notes"/>
    <tableColumn id="7" name="Completion" dataDxfId="16"/>
    <tableColumn id="8" name="Due date" dataDxfId="15"/>
    <tableColumn id="9" name="Duration">
      <calculatedColumnFormula>H2-C2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2"/>
  <sheetViews>
    <sheetView topLeftCell="A55" workbookViewId="0">
      <selection activeCell="B55" sqref="B55:B74"/>
    </sheetView>
  </sheetViews>
  <sheetFormatPr defaultRowHeight="15" x14ac:dyDescent="0.25"/>
  <cols>
    <col min="1" max="1" width="12.85546875" customWidth="1"/>
    <col min="2" max="2" width="16.7109375" customWidth="1"/>
    <col min="3" max="3" width="13.28515625" customWidth="1"/>
    <col min="4" max="4" width="14.28515625" customWidth="1"/>
    <col min="5" max="5" width="16.85546875" customWidth="1"/>
    <col min="6" max="6" width="19.140625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2" t="s">
        <v>6</v>
      </c>
      <c r="B2" s="2" t="s">
        <v>7</v>
      </c>
      <c r="C2" s="2">
        <v>232.79</v>
      </c>
      <c r="D2" s="2">
        <v>20</v>
      </c>
      <c r="E2" s="2">
        <v>186.23</v>
      </c>
      <c r="F2" s="2" t="s">
        <v>8</v>
      </c>
    </row>
    <row r="3" spans="1:6" x14ac:dyDescent="0.25">
      <c r="A3" s="2" t="s">
        <v>9</v>
      </c>
      <c r="B3" s="2" t="s">
        <v>10</v>
      </c>
      <c r="C3" s="2">
        <v>393.77</v>
      </c>
      <c r="D3" s="2">
        <v>15</v>
      </c>
      <c r="E3" s="2">
        <v>334.7</v>
      </c>
      <c r="F3" s="2" t="s">
        <v>11</v>
      </c>
    </row>
    <row r="4" spans="1:6" x14ac:dyDescent="0.25">
      <c r="A4" s="2" t="s">
        <v>12</v>
      </c>
      <c r="B4" s="2" t="s">
        <v>13</v>
      </c>
      <c r="C4" s="2">
        <v>351.87</v>
      </c>
      <c r="D4" s="2">
        <v>0</v>
      </c>
      <c r="E4" s="2">
        <v>351.87</v>
      </c>
      <c r="F4" s="2" t="s">
        <v>8</v>
      </c>
    </row>
    <row r="5" spans="1:6" x14ac:dyDescent="0.25">
      <c r="A5" s="2" t="s">
        <v>14</v>
      </c>
      <c r="B5" s="2" t="s">
        <v>15</v>
      </c>
      <c r="C5" s="2">
        <v>245.98</v>
      </c>
      <c r="D5" s="2">
        <v>15</v>
      </c>
      <c r="E5" s="2">
        <v>209.08</v>
      </c>
      <c r="F5" s="2" t="s">
        <v>11</v>
      </c>
    </row>
    <row r="6" spans="1:6" x14ac:dyDescent="0.25">
      <c r="A6" s="2" t="s">
        <v>16</v>
      </c>
      <c r="B6" s="2" t="s">
        <v>15</v>
      </c>
      <c r="C6" s="2">
        <v>105.1</v>
      </c>
      <c r="D6" s="2">
        <v>25</v>
      </c>
      <c r="E6" s="2">
        <v>78.819999999999993</v>
      </c>
      <c r="F6" s="2" t="s">
        <v>8</v>
      </c>
    </row>
    <row r="7" spans="1:6" x14ac:dyDescent="0.25">
      <c r="A7" s="2" t="s">
        <v>17</v>
      </c>
      <c r="B7" s="2" t="s">
        <v>7</v>
      </c>
      <c r="C7" s="2">
        <v>95.41</v>
      </c>
      <c r="D7" s="2">
        <v>15</v>
      </c>
      <c r="E7" s="2">
        <v>81.099999999999994</v>
      </c>
      <c r="F7" s="2" t="s">
        <v>18</v>
      </c>
    </row>
    <row r="8" spans="1:6" x14ac:dyDescent="0.25">
      <c r="A8" s="2" t="s">
        <v>19</v>
      </c>
      <c r="B8" s="2" t="s">
        <v>7</v>
      </c>
      <c r="C8" s="2">
        <v>490.77</v>
      </c>
      <c r="D8" s="2">
        <v>10</v>
      </c>
      <c r="E8" s="2">
        <v>441.69</v>
      </c>
      <c r="F8" s="2" t="s">
        <v>20</v>
      </c>
    </row>
    <row r="9" spans="1:6" x14ac:dyDescent="0.25">
      <c r="A9" s="2" t="s">
        <v>21</v>
      </c>
      <c r="B9" s="2" t="s">
        <v>22</v>
      </c>
      <c r="C9" s="2">
        <v>188.07</v>
      </c>
      <c r="D9" s="2">
        <v>50</v>
      </c>
      <c r="E9" s="2">
        <v>94.03</v>
      </c>
      <c r="F9" s="2" t="s">
        <v>18</v>
      </c>
    </row>
    <row r="10" spans="1:6" x14ac:dyDescent="0.25">
      <c r="A10" s="2" t="s">
        <v>23</v>
      </c>
      <c r="B10" s="2" t="s">
        <v>13</v>
      </c>
      <c r="C10" s="2">
        <v>319.29000000000002</v>
      </c>
      <c r="D10" s="2">
        <v>5</v>
      </c>
      <c r="E10" s="2">
        <v>303.33</v>
      </c>
      <c r="F10" s="2" t="s">
        <v>24</v>
      </c>
    </row>
    <row r="11" spans="1:6" x14ac:dyDescent="0.25">
      <c r="A11" s="2" t="s">
        <v>25</v>
      </c>
      <c r="B11" s="2" t="s">
        <v>15</v>
      </c>
      <c r="C11" s="2">
        <v>403.4</v>
      </c>
      <c r="D11" s="2">
        <v>10</v>
      </c>
      <c r="E11" s="2">
        <v>363.06</v>
      </c>
      <c r="F11" s="2" t="s">
        <v>8</v>
      </c>
    </row>
    <row r="12" spans="1:6" x14ac:dyDescent="0.25">
      <c r="A12" s="2" t="s">
        <v>26</v>
      </c>
      <c r="B12" s="2" t="s">
        <v>15</v>
      </c>
      <c r="C12" s="2">
        <v>334.47</v>
      </c>
      <c r="D12" s="2">
        <v>30</v>
      </c>
      <c r="E12" s="2">
        <v>234.13</v>
      </c>
      <c r="F12" s="2" t="s">
        <v>18</v>
      </c>
    </row>
    <row r="13" spans="1:6" x14ac:dyDescent="0.25">
      <c r="A13" s="2" t="s">
        <v>27</v>
      </c>
      <c r="B13" s="2" t="s">
        <v>13</v>
      </c>
      <c r="C13" s="2">
        <v>305.93</v>
      </c>
      <c r="D13" s="2">
        <v>10</v>
      </c>
      <c r="E13" s="2">
        <v>275.33999999999997</v>
      </c>
      <c r="F13" s="2" t="s">
        <v>11</v>
      </c>
    </row>
    <row r="14" spans="1:6" x14ac:dyDescent="0.25">
      <c r="A14" s="2" t="s">
        <v>28</v>
      </c>
      <c r="B14" s="2" t="s">
        <v>13</v>
      </c>
      <c r="C14" s="2">
        <v>274.11</v>
      </c>
      <c r="D14" s="2">
        <v>15</v>
      </c>
      <c r="E14" s="2">
        <v>232.99</v>
      </c>
      <c r="F14" s="2" t="s">
        <v>24</v>
      </c>
    </row>
    <row r="15" spans="1:6" x14ac:dyDescent="0.25">
      <c r="A15" s="2" t="s">
        <v>29</v>
      </c>
      <c r="B15" s="2" t="s">
        <v>13</v>
      </c>
      <c r="C15" s="2">
        <v>215.44</v>
      </c>
      <c r="D15" s="2">
        <v>50</v>
      </c>
      <c r="E15" s="2">
        <v>107.72</v>
      </c>
      <c r="F15" s="2" t="s">
        <v>20</v>
      </c>
    </row>
    <row r="16" spans="1:6" x14ac:dyDescent="0.25">
      <c r="A16" s="2" t="s">
        <v>30</v>
      </c>
      <c r="B16" s="2" t="s">
        <v>31</v>
      </c>
      <c r="C16" s="2">
        <v>309.67</v>
      </c>
      <c r="D16" s="2">
        <v>25</v>
      </c>
      <c r="E16" s="2">
        <v>232.25</v>
      </c>
      <c r="F16" s="2" t="s">
        <v>20</v>
      </c>
    </row>
    <row r="17" spans="1:6" x14ac:dyDescent="0.25">
      <c r="A17" s="2" t="s">
        <v>32</v>
      </c>
      <c r="B17" s="2" t="s">
        <v>7</v>
      </c>
      <c r="C17" s="2">
        <v>40.869999999999997</v>
      </c>
      <c r="D17" s="2">
        <v>15</v>
      </c>
      <c r="E17" s="2">
        <v>34.74</v>
      </c>
      <c r="F17" s="2" t="s">
        <v>8</v>
      </c>
    </row>
    <row r="18" spans="1:6" x14ac:dyDescent="0.25">
      <c r="A18" s="2" t="s">
        <v>33</v>
      </c>
      <c r="B18" s="2" t="s">
        <v>7</v>
      </c>
      <c r="C18" s="2">
        <v>90.2</v>
      </c>
      <c r="D18" s="2">
        <v>10</v>
      </c>
      <c r="E18" s="2">
        <v>81.180000000000007</v>
      </c>
      <c r="F18" s="2" t="s">
        <v>18</v>
      </c>
    </row>
    <row r="19" spans="1:6" x14ac:dyDescent="0.25">
      <c r="A19" s="2" t="s">
        <v>34</v>
      </c>
      <c r="B19" s="2" t="s">
        <v>7</v>
      </c>
      <c r="C19" s="2">
        <v>92.92</v>
      </c>
      <c r="D19" s="2">
        <v>10</v>
      </c>
      <c r="E19" s="2">
        <v>83.63</v>
      </c>
      <c r="F19" s="2" t="s">
        <v>24</v>
      </c>
    </row>
    <row r="20" spans="1:6" x14ac:dyDescent="0.25">
      <c r="A20" s="2" t="s">
        <v>35</v>
      </c>
      <c r="B20" s="2" t="s">
        <v>15</v>
      </c>
      <c r="C20" s="2">
        <v>388.1</v>
      </c>
      <c r="D20" s="2">
        <v>25</v>
      </c>
      <c r="E20" s="2">
        <v>291.08</v>
      </c>
      <c r="F20" s="2" t="s">
        <v>11</v>
      </c>
    </row>
    <row r="21" spans="1:6" x14ac:dyDescent="0.25">
      <c r="A21" s="2" t="s">
        <v>36</v>
      </c>
      <c r="B21" s="2" t="s">
        <v>15</v>
      </c>
      <c r="C21" s="2">
        <v>257.20999999999998</v>
      </c>
      <c r="D21" s="2">
        <v>5</v>
      </c>
      <c r="E21" s="2">
        <v>244.35</v>
      </c>
      <c r="F21" s="2" t="s">
        <v>20</v>
      </c>
    </row>
    <row r="22" spans="1:6" x14ac:dyDescent="0.25">
      <c r="A22" s="2" t="s">
        <v>37</v>
      </c>
      <c r="B22" s="2" t="s">
        <v>31</v>
      </c>
      <c r="C22" s="2">
        <v>135.62</v>
      </c>
      <c r="D22" s="2">
        <v>30</v>
      </c>
      <c r="E22" s="2">
        <v>94.93</v>
      </c>
      <c r="F22" s="2" t="s">
        <v>20</v>
      </c>
    </row>
    <row r="23" spans="1:6" x14ac:dyDescent="0.25">
      <c r="A23" s="2" t="s">
        <v>38</v>
      </c>
      <c r="B23" s="2" t="s">
        <v>10</v>
      </c>
      <c r="C23" s="2">
        <v>236.7</v>
      </c>
      <c r="D23" s="2">
        <v>0</v>
      </c>
      <c r="E23" s="2">
        <v>236.7</v>
      </c>
      <c r="F23" s="2" t="s">
        <v>11</v>
      </c>
    </row>
    <row r="24" spans="1:6" x14ac:dyDescent="0.25">
      <c r="A24" s="2" t="s">
        <v>39</v>
      </c>
      <c r="B24" s="2" t="s">
        <v>13</v>
      </c>
      <c r="C24" s="2">
        <v>460.89</v>
      </c>
      <c r="D24" s="2">
        <v>10</v>
      </c>
      <c r="E24" s="2">
        <v>414.8</v>
      </c>
      <c r="F24" s="2" t="s">
        <v>18</v>
      </c>
    </row>
    <row r="25" spans="1:6" x14ac:dyDescent="0.25">
      <c r="A25" s="2" t="s">
        <v>40</v>
      </c>
      <c r="B25" s="2" t="s">
        <v>10</v>
      </c>
      <c r="C25" s="2">
        <v>470.33</v>
      </c>
      <c r="D25" s="2">
        <v>0</v>
      </c>
      <c r="E25" s="2">
        <v>470.33</v>
      </c>
      <c r="F25" s="2" t="s">
        <v>24</v>
      </c>
    </row>
    <row r="26" spans="1:6" x14ac:dyDescent="0.25">
      <c r="A26" s="2" t="s">
        <v>41</v>
      </c>
      <c r="B26" s="2" t="s">
        <v>15</v>
      </c>
      <c r="C26" s="2">
        <v>62.48</v>
      </c>
      <c r="D26" s="2">
        <v>20</v>
      </c>
      <c r="E26" s="2">
        <v>49.98</v>
      </c>
      <c r="F26" s="2" t="s">
        <v>20</v>
      </c>
    </row>
    <row r="27" spans="1:6" x14ac:dyDescent="0.25">
      <c r="A27" s="2" t="s">
        <v>42</v>
      </c>
      <c r="B27" s="2" t="s">
        <v>13</v>
      </c>
      <c r="C27" s="2">
        <v>203.43</v>
      </c>
      <c r="D27" s="2">
        <v>5</v>
      </c>
      <c r="E27" s="2">
        <v>193.26</v>
      </c>
      <c r="F27" s="2" t="s">
        <v>18</v>
      </c>
    </row>
    <row r="28" spans="1:6" x14ac:dyDescent="0.25">
      <c r="A28" s="2" t="s">
        <v>43</v>
      </c>
      <c r="B28" s="2" t="s">
        <v>31</v>
      </c>
      <c r="C28" s="2">
        <v>268.42</v>
      </c>
      <c r="D28" s="2">
        <v>5</v>
      </c>
      <c r="E28" s="2">
        <v>255</v>
      </c>
      <c r="F28" s="2" t="s">
        <v>24</v>
      </c>
    </row>
    <row r="29" spans="1:6" x14ac:dyDescent="0.25">
      <c r="A29" s="2" t="s">
        <v>44</v>
      </c>
      <c r="B29" s="2" t="s">
        <v>7</v>
      </c>
      <c r="C29" s="2">
        <v>383.58</v>
      </c>
      <c r="D29" s="2">
        <v>10</v>
      </c>
      <c r="E29" s="2">
        <v>345.22</v>
      </c>
      <c r="F29" s="2" t="s">
        <v>20</v>
      </c>
    </row>
    <row r="30" spans="1:6" x14ac:dyDescent="0.25">
      <c r="A30" s="2" t="s">
        <v>45</v>
      </c>
      <c r="B30" s="2" t="s">
        <v>31</v>
      </c>
      <c r="C30" s="2">
        <v>422.02</v>
      </c>
      <c r="D30" s="2">
        <v>30</v>
      </c>
      <c r="E30" s="2">
        <v>295.41000000000003</v>
      </c>
      <c r="F30" s="2" t="s">
        <v>18</v>
      </c>
    </row>
    <row r="31" spans="1:6" x14ac:dyDescent="0.25">
      <c r="A31" s="2" t="s">
        <v>46</v>
      </c>
      <c r="B31" s="2" t="s">
        <v>10</v>
      </c>
      <c r="C31" s="2">
        <v>368.74</v>
      </c>
      <c r="D31" s="2">
        <v>5</v>
      </c>
      <c r="E31" s="2">
        <v>350.3</v>
      </c>
      <c r="F31" s="2" t="s">
        <v>20</v>
      </c>
    </row>
    <row r="32" spans="1:6" x14ac:dyDescent="0.25">
      <c r="A32" s="2" t="s">
        <v>47</v>
      </c>
      <c r="B32" s="2" t="s">
        <v>10</v>
      </c>
      <c r="C32" s="2">
        <v>458.8</v>
      </c>
      <c r="D32" s="2">
        <v>50</v>
      </c>
      <c r="E32" s="2">
        <v>229.4</v>
      </c>
      <c r="F32" s="2" t="s">
        <v>8</v>
      </c>
    </row>
    <row r="33" spans="1:6" x14ac:dyDescent="0.25">
      <c r="A33" s="2" t="s">
        <v>48</v>
      </c>
      <c r="B33" s="2" t="s">
        <v>13</v>
      </c>
      <c r="C33" s="2">
        <v>430.43</v>
      </c>
      <c r="D33" s="2">
        <v>0</v>
      </c>
      <c r="E33" s="2">
        <v>430.43</v>
      </c>
      <c r="F33" s="2" t="s">
        <v>20</v>
      </c>
    </row>
    <row r="34" spans="1:6" x14ac:dyDescent="0.25">
      <c r="A34" s="2" t="s">
        <v>49</v>
      </c>
      <c r="B34" s="2" t="s">
        <v>10</v>
      </c>
      <c r="C34" s="2">
        <v>266.2</v>
      </c>
      <c r="D34" s="2">
        <v>0</v>
      </c>
      <c r="E34" s="2">
        <v>266.2</v>
      </c>
      <c r="F34" s="2" t="s">
        <v>20</v>
      </c>
    </row>
    <row r="35" spans="1:6" x14ac:dyDescent="0.25">
      <c r="A35" s="2" t="s">
        <v>50</v>
      </c>
      <c r="B35" s="2" t="s">
        <v>22</v>
      </c>
      <c r="C35" s="2">
        <v>34.130000000000003</v>
      </c>
      <c r="D35" s="2">
        <v>50</v>
      </c>
      <c r="E35" s="2">
        <v>17.07</v>
      </c>
      <c r="F35" s="2" t="s">
        <v>11</v>
      </c>
    </row>
    <row r="36" spans="1:6" x14ac:dyDescent="0.25">
      <c r="A36" s="2" t="s">
        <v>51</v>
      </c>
      <c r="B36" s="2" t="s">
        <v>52</v>
      </c>
      <c r="C36" s="2">
        <v>67.36</v>
      </c>
      <c r="D36" s="2">
        <v>25</v>
      </c>
      <c r="E36" s="2">
        <v>50.52</v>
      </c>
      <c r="F36" s="2" t="s">
        <v>8</v>
      </c>
    </row>
    <row r="37" spans="1:6" x14ac:dyDescent="0.25">
      <c r="A37" s="2" t="s">
        <v>53</v>
      </c>
      <c r="B37" s="2" t="s">
        <v>31</v>
      </c>
      <c r="C37" s="2">
        <v>368.25</v>
      </c>
      <c r="D37" s="2">
        <v>20</v>
      </c>
      <c r="E37" s="2">
        <v>294.60000000000002</v>
      </c>
      <c r="F37" s="2" t="s">
        <v>24</v>
      </c>
    </row>
    <row r="38" spans="1:6" x14ac:dyDescent="0.25">
      <c r="A38" s="2" t="s">
        <v>54</v>
      </c>
      <c r="B38" s="2" t="s">
        <v>52</v>
      </c>
      <c r="C38" s="2">
        <v>274.64999999999998</v>
      </c>
      <c r="D38" s="2">
        <v>20</v>
      </c>
      <c r="E38" s="2">
        <v>219.72</v>
      </c>
      <c r="F38" s="2" t="s">
        <v>18</v>
      </c>
    </row>
    <row r="39" spans="1:6" x14ac:dyDescent="0.25">
      <c r="A39" s="2" t="s">
        <v>55</v>
      </c>
      <c r="B39" s="2" t="s">
        <v>22</v>
      </c>
      <c r="C39" s="2">
        <v>369.15</v>
      </c>
      <c r="D39" s="2">
        <v>0</v>
      </c>
      <c r="E39" s="2">
        <v>369.15</v>
      </c>
      <c r="F39" s="2" t="s">
        <v>24</v>
      </c>
    </row>
    <row r="40" spans="1:6" x14ac:dyDescent="0.25">
      <c r="A40" s="2" t="s">
        <v>56</v>
      </c>
      <c r="B40" s="2" t="s">
        <v>7</v>
      </c>
      <c r="C40" s="2">
        <v>84.26</v>
      </c>
      <c r="D40" s="2">
        <v>5</v>
      </c>
      <c r="E40" s="2">
        <v>80.05</v>
      </c>
      <c r="F40" s="2" t="s">
        <v>11</v>
      </c>
    </row>
    <row r="41" spans="1:6" x14ac:dyDescent="0.25">
      <c r="A41" s="2" t="s">
        <v>57</v>
      </c>
      <c r="B41" s="2" t="s">
        <v>31</v>
      </c>
      <c r="C41" s="2">
        <v>255.74</v>
      </c>
      <c r="D41" s="2">
        <v>25</v>
      </c>
      <c r="E41" s="2">
        <v>191.81</v>
      </c>
      <c r="F41" s="2" t="s">
        <v>20</v>
      </c>
    </row>
    <row r="42" spans="1:6" x14ac:dyDescent="0.25">
      <c r="A42" s="2" t="s">
        <v>58</v>
      </c>
      <c r="B42" s="2" t="s">
        <v>52</v>
      </c>
      <c r="C42" s="2">
        <v>440.74</v>
      </c>
      <c r="D42" s="2">
        <v>30</v>
      </c>
      <c r="E42" s="2">
        <v>308.52</v>
      </c>
      <c r="F42" s="2" t="s">
        <v>11</v>
      </c>
    </row>
    <row r="43" spans="1:6" x14ac:dyDescent="0.25">
      <c r="A43" s="2" t="s">
        <v>59</v>
      </c>
      <c r="B43" s="2" t="s">
        <v>10</v>
      </c>
      <c r="C43" s="2">
        <v>199.88</v>
      </c>
      <c r="D43" s="2">
        <v>10</v>
      </c>
      <c r="E43" s="2">
        <v>179.89</v>
      </c>
      <c r="F43" s="2" t="s">
        <v>8</v>
      </c>
    </row>
    <row r="44" spans="1:6" x14ac:dyDescent="0.25">
      <c r="A44" s="2" t="s">
        <v>60</v>
      </c>
      <c r="B44" s="2" t="s">
        <v>52</v>
      </c>
      <c r="C44" s="2">
        <v>317.98</v>
      </c>
      <c r="D44" s="2">
        <v>5</v>
      </c>
      <c r="E44" s="2">
        <v>302.08</v>
      </c>
      <c r="F44" s="2" t="s">
        <v>24</v>
      </c>
    </row>
    <row r="45" spans="1:6" x14ac:dyDescent="0.25">
      <c r="A45" s="2" t="s">
        <v>61</v>
      </c>
      <c r="B45" s="2" t="s">
        <v>52</v>
      </c>
      <c r="C45" s="2">
        <v>439.4</v>
      </c>
      <c r="D45" s="2">
        <v>10</v>
      </c>
      <c r="E45" s="2">
        <v>395.46</v>
      </c>
      <c r="F45" s="2" t="s">
        <v>11</v>
      </c>
    </row>
    <row r="46" spans="1:6" x14ac:dyDescent="0.25">
      <c r="A46" s="2" t="s">
        <v>62</v>
      </c>
      <c r="B46" s="2" t="s">
        <v>15</v>
      </c>
      <c r="C46" s="2">
        <v>133.33000000000001</v>
      </c>
      <c r="D46" s="2">
        <v>5</v>
      </c>
      <c r="E46" s="2">
        <v>126.66</v>
      </c>
      <c r="F46" s="2" t="s">
        <v>24</v>
      </c>
    </row>
    <row r="47" spans="1:6" x14ac:dyDescent="0.25">
      <c r="A47" s="2" t="s">
        <v>63</v>
      </c>
      <c r="B47" s="2" t="s">
        <v>22</v>
      </c>
      <c r="C47" s="2">
        <v>143.68</v>
      </c>
      <c r="D47" s="2">
        <v>10</v>
      </c>
      <c r="E47" s="2">
        <v>129.31</v>
      </c>
      <c r="F47" s="2" t="s">
        <v>20</v>
      </c>
    </row>
    <row r="48" spans="1:6" x14ac:dyDescent="0.25">
      <c r="A48" s="2" t="s">
        <v>64</v>
      </c>
      <c r="B48" s="2" t="s">
        <v>10</v>
      </c>
      <c r="C48" s="2">
        <v>209.41</v>
      </c>
      <c r="D48" s="2">
        <v>50</v>
      </c>
      <c r="E48" s="2">
        <v>104.7</v>
      </c>
      <c r="F48" s="2" t="s">
        <v>8</v>
      </c>
    </row>
    <row r="49" spans="1:6" x14ac:dyDescent="0.25">
      <c r="A49" s="2" t="s">
        <v>65</v>
      </c>
      <c r="B49" s="2" t="s">
        <v>13</v>
      </c>
      <c r="C49" s="2">
        <v>110.73</v>
      </c>
      <c r="D49" s="2">
        <v>30</v>
      </c>
      <c r="E49" s="2">
        <v>77.510000000000005</v>
      </c>
      <c r="F49" s="2" t="s">
        <v>11</v>
      </c>
    </row>
    <row r="50" spans="1:6" x14ac:dyDescent="0.25">
      <c r="A50" s="2" t="s">
        <v>66</v>
      </c>
      <c r="B50" s="2" t="s">
        <v>15</v>
      </c>
      <c r="C50" s="2">
        <v>432.1</v>
      </c>
      <c r="D50" s="2">
        <v>5</v>
      </c>
      <c r="E50" s="2">
        <v>410.5</v>
      </c>
      <c r="F50" s="2" t="s">
        <v>8</v>
      </c>
    </row>
    <row r="51" spans="1:6" x14ac:dyDescent="0.25">
      <c r="A51" s="2" t="s">
        <v>67</v>
      </c>
      <c r="B51" s="2" t="s">
        <v>31</v>
      </c>
      <c r="C51" s="2">
        <v>211.67</v>
      </c>
      <c r="D51" s="2">
        <v>50</v>
      </c>
      <c r="E51" s="2">
        <v>105.83</v>
      </c>
      <c r="F51" s="2" t="s">
        <v>8</v>
      </c>
    </row>
    <row r="52" spans="1:6" x14ac:dyDescent="0.25">
      <c r="A52" s="2" t="s">
        <v>68</v>
      </c>
      <c r="B52" s="2" t="s">
        <v>13</v>
      </c>
      <c r="C52" s="2">
        <v>132.47999999999999</v>
      </c>
      <c r="D52" s="2">
        <v>20</v>
      </c>
      <c r="E52" s="2">
        <v>105.98</v>
      </c>
      <c r="F52" s="2" t="s">
        <v>20</v>
      </c>
    </row>
    <row r="53" spans="1:6" x14ac:dyDescent="0.25">
      <c r="A53" s="2" t="s">
        <v>69</v>
      </c>
      <c r="B53" s="2" t="s">
        <v>7</v>
      </c>
      <c r="C53" s="2">
        <v>74.67</v>
      </c>
      <c r="D53" s="2">
        <v>20</v>
      </c>
      <c r="E53" s="2">
        <v>59.74</v>
      </c>
      <c r="F53" s="2" t="s">
        <v>11</v>
      </c>
    </row>
    <row r="54" spans="1:6" x14ac:dyDescent="0.25">
      <c r="A54" s="2" t="s">
        <v>70</v>
      </c>
      <c r="B54" s="2" t="s">
        <v>31</v>
      </c>
      <c r="C54" s="2">
        <v>439.81</v>
      </c>
      <c r="D54" s="2">
        <v>15</v>
      </c>
      <c r="E54" s="2">
        <v>373.84</v>
      </c>
      <c r="F54" s="2" t="s">
        <v>8</v>
      </c>
    </row>
    <row r="55" spans="1:6" x14ac:dyDescent="0.25">
      <c r="A55" s="2" t="s">
        <v>71</v>
      </c>
      <c r="B55" s="2" t="s">
        <v>10</v>
      </c>
      <c r="C55" s="2">
        <v>293.27999999999997</v>
      </c>
      <c r="D55" s="2">
        <v>30</v>
      </c>
      <c r="E55" s="2">
        <v>205.3</v>
      </c>
      <c r="F55" s="2" t="s">
        <v>8</v>
      </c>
    </row>
    <row r="56" spans="1:6" x14ac:dyDescent="0.25">
      <c r="A56" s="2" t="s">
        <v>72</v>
      </c>
      <c r="B56" s="2" t="s">
        <v>52</v>
      </c>
      <c r="C56" s="2">
        <v>419.54</v>
      </c>
      <c r="D56" s="2">
        <v>10</v>
      </c>
      <c r="E56" s="2">
        <v>377.59</v>
      </c>
      <c r="F56" s="2" t="s">
        <v>11</v>
      </c>
    </row>
    <row r="57" spans="1:6" x14ac:dyDescent="0.25">
      <c r="A57" s="2" t="s">
        <v>73</v>
      </c>
      <c r="B57" s="2" t="s">
        <v>15</v>
      </c>
      <c r="C57" s="2">
        <v>483.48</v>
      </c>
      <c r="D57" s="2">
        <v>15</v>
      </c>
      <c r="E57" s="2">
        <v>410.96</v>
      </c>
      <c r="F57" s="2" t="s">
        <v>11</v>
      </c>
    </row>
    <row r="58" spans="1:6" x14ac:dyDescent="0.25">
      <c r="A58" s="2" t="s">
        <v>74</v>
      </c>
      <c r="B58" s="2" t="s">
        <v>31</v>
      </c>
      <c r="C58" s="2">
        <v>286.37</v>
      </c>
      <c r="D58" s="2">
        <v>25</v>
      </c>
      <c r="E58" s="2">
        <v>214.78</v>
      </c>
      <c r="F58" s="2" t="s">
        <v>18</v>
      </c>
    </row>
    <row r="59" spans="1:6" x14ac:dyDescent="0.25">
      <c r="A59" s="2" t="s">
        <v>75</v>
      </c>
      <c r="B59" s="2" t="s">
        <v>52</v>
      </c>
      <c r="C59" s="2">
        <v>486.15</v>
      </c>
      <c r="D59" s="2">
        <v>5</v>
      </c>
      <c r="E59" s="2">
        <v>461.84</v>
      </c>
      <c r="F59" s="2" t="s">
        <v>8</v>
      </c>
    </row>
    <row r="60" spans="1:6" x14ac:dyDescent="0.25">
      <c r="A60" s="2" t="s">
        <v>76</v>
      </c>
      <c r="B60" s="2" t="s">
        <v>7</v>
      </c>
      <c r="C60" s="2">
        <v>44.29</v>
      </c>
      <c r="D60" s="2">
        <v>0</v>
      </c>
      <c r="E60" s="2">
        <v>44.29</v>
      </c>
      <c r="F60" s="2" t="s">
        <v>24</v>
      </c>
    </row>
    <row r="61" spans="1:6" x14ac:dyDescent="0.25">
      <c r="A61" s="2" t="s">
        <v>77</v>
      </c>
      <c r="B61" s="2" t="s">
        <v>22</v>
      </c>
      <c r="C61" s="2">
        <v>384.71</v>
      </c>
      <c r="D61" s="2">
        <v>10</v>
      </c>
      <c r="E61" s="2">
        <v>346.24</v>
      </c>
      <c r="F61" s="2" t="s">
        <v>20</v>
      </c>
    </row>
    <row r="62" spans="1:6" x14ac:dyDescent="0.25">
      <c r="A62" s="2" t="s">
        <v>78</v>
      </c>
      <c r="B62" s="2" t="s">
        <v>15</v>
      </c>
      <c r="C62" s="2">
        <v>498.37</v>
      </c>
      <c r="D62" s="2">
        <v>10</v>
      </c>
      <c r="E62" s="2">
        <v>448.53</v>
      </c>
      <c r="F62" s="2" t="s">
        <v>24</v>
      </c>
    </row>
    <row r="63" spans="1:6" x14ac:dyDescent="0.25">
      <c r="A63" s="2" t="s">
        <v>79</v>
      </c>
      <c r="B63" s="2" t="s">
        <v>52</v>
      </c>
      <c r="C63" s="2">
        <v>117.95</v>
      </c>
      <c r="D63" s="2">
        <v>15</v>
      </c>
      <c r="E63" s="2">
        <v>100.26</v>
      </c>
      <c r="F63" s="2" t="s">
        <v>24</v>
      </c>
    </row>
    <row r="64" spans="1:6" x14ac:dyDescent="0.25">
      <c r="A64" s="2" t="s">
        <v>80</v>
      </c>
      <c r="B64" s="2" t="s">
        <v>22</v>
      </c>
      <c r="C64" s="2">
        <v>294.66000000000003</v>
      </c>
      <c r="D64" s="2">
        <v>15</v>
      </c>
      <c r="E64" s="2">
        <v>250.46</v>
      </c>
      <c r="F64" s="2" t="s">
        <v>8</v>
      </c>
    </row>
    <row r="65" spans="1:6" x14ac:dyDescent="0.25">
      <c r="A65" s="2" t="s">
        <v>81</v>
      </c>
      <c r="B65" s="2" t="s">
        <v>52</v>
      </c>
      <c r="C65" s="2">
        <v>225.59</v>
      </c>
      <c r="D65" s="2">
        <v>25</v>
      </c>
      <c r="E65" s="2">
        <v>169.19</v>
      </c>
      <c r="F65" s="2" t="s">
        <v>8</v>
      </c>
    </row>
    <row r="66" spans="1:6" x14ac:dyDescent="0.25">
      <c r="A66" s="2" t="s">
        <v>82</v>
      </c>
      <c r="B66" s="2" t="s">
        <v>15</v>
      </c>
      <c r="C66" s="2">
        <v>328.31</v>
      </c>
      <c r="D66" s="2">
        <v>10</v>
      </c>
      <c r="E66" s="2">
        <v>295.48</v>
      </c>
      <c r="F66" s="2" t="s">
        <v>24</v>
      </c>
    </row>
    <row r="67" spans="1:6" x14ac:dyDescent="0.25">
      <c r="A67" s="2" t="s">
        <v>83</v>
      </c>
      <c r="B67" s="2" t="s">
        <v>13</v>
      </c>
      <c r="C67" s="2">
        <v>87.6</v>
      </c>
      <c r="D67" s="2">
        <v>25</v>
      </c>
      <c r="E67" s="2">
        <v>65.7</v>
      </c>
      <c r="F67" s="2" t="s">
        <v>20</v>
      </c>
    </row>
    <row r="68" spans="1:6" x14ac:dyDescent="0.25">
      <c r="A68" s="2" t="s">
        <v>84</v>
      </c>
      <c r="B68" s="2" t="s">
        <v>7</v>
      </c>
      <c r="C68" s="2">
        <v>474.63</v>
      </c>
      <c r="D68" s="2">
        <v>5</v>
      </c>
      <c r="E68" s="2">
        <v>450.9</v>
      </c>
      <c r="F68" s="2" t="s">
        <v>8</v>
      </c>
    </row>
    <row r="69" spans="1:6" x14ac:dyDescent="0.25">
      <c r="A69" s="2" t="s">
        <v>85</v>
      </c>
      <c r="B69" s="2" t="s">
        <v>22</v>
      </c>
      <c r="C69" s="2">
        <v>412.98</v>
      </c>
      <c r="D69" s="2">
        <v>20</v>
      </c>
      <c r="E69" s="2">
        <v>330.38</v>
      </c>
      <c r="F69" s="2" t="s">
        <v>18</v>
      </c>
    </row>
    <row r="70" spans="1:6" x14ac:dyDescent="0.25">
      <c r="A70" s="2" t="s">
        <v>86</v>
      </c>
      <c r="B70" s="2" t="s">
        <v>31</v>
      </c>
      <c r="C70" s="2">
        <v>479.52</v>
      </c>
      <c r="D70" s="2">
        <v>15</v>
      </c>
      <c r="E70" s="2">
        <v>407.59</v>
      </c>
      <c r="F70" s="2" t="s">
        <v>20</v>
      </c>
    </row>
    <row r="71" spans="1:6" x14ac:dyDescent="0.25">
      <c r="A71" s="2" t="s">
        <v>87</v>
      </c>
      <c r="B71" s="2" t="s">
        <v>7</v>
      </c>
      <c r="C71" s="2">
        <v>355.43</v>
      </c>
      <c r="D71" s="2">
        <v>25</v>
      </c>
      <c r="E71" s="2">
        <v>266.57</v>
      </c>
      <c r="F71" s="2" t="s">
        <v>20</v>
      </c>
    </row>
    <row r="72" spans="1:6" x14ac:dyDescent="0.25">
      <c r="A72" s="2" t="s">
        <v>88</v>
      </c>
      <c r="B72" s="2" t="s">
        <v>31</v>
      </c>
      <c r="C72" s="2">
        <v>277.14</v>
      </c>
      <c r="D72" s="2">
        <v>10</v>
      </c>
      <c r="E72" s="2">
        <v>249.43</v>
      </c>
      <c r="F72" s="2" t="s">
        <v>20</v>
      </c>
    </row>
    <row r="73" spans="1:6" x14ac:dyDescent="0.25">
      <c r="A73" s="2" t="s">
        <v>89</v>
      </c>
      <c r="B73" s="2" t="s">
        <v>10</v>
      </c>
      <c r="C73" s="2">
        <v>101.29</v>
      </c>
      <c r="D73" s="2">
        <v>15</v>
      </c>
      <c r="E73" s="2">
        <v>86.1</v>
      </c>
      <c r="F73" s="2" t="s">
        <v>20</v>
      </c>
    </row>
    <row r="74" spans="1:6" x14ac:dyDescent="0.25">
      <c r="A74" s="2" t="s">
        <v>90</v>
      </c>
      <c r="B74" s="2" t="s">
        <v>31</v>
      </c>
      <c r="C74" s="2">
        <v>181.69</v>
      </c>
      <c r="D74" s="2">
        <v>10</v>
      </c>
      <c r="E74" s="2">
        <v>163.52000000000001</v>
      </c>
      <c r="F74" s="2" t="s">
        <v>18</v>
      </c>
    </row>
    <row r="75" spans="1:6" x14ac:dyDescent="0.25">
      <c r="A75" s="2" t="s">
        <v>91</v>
      </c>
      <c r="B75" s="2" t="s">
        <v>15</v>
      </c>
      <c r="C75" s="2">
        <v>152.43</v>
      </c>
      <c r="D75" s="2">
        <v>20</v>
      </c>
      <c r="E75" s="2">
        <v>121.94</v>
      </c>
      <c r="F75" s="2" t="s">
        <v>18</v>
      </c>
    </row>
    <row r="76" spans="1:6" x14ac:dyDescent="0.25">
      <c r="A76" s="2" t="s">
        <v>92</v>
      </c>
      <c r="B76" s="2" t="s">
        <v>31</v>
      </c>
      <c r="C76" s="2">
        <v>268.14</v>
      </c>
      <c r="D76" s="2">
        <v>0</v>
      </c>
      <c r="E76" s="2">
        <v>268.14</v>
      </c>
      <c r="F76" s="2" t="s">
        <v>18</v>
      </c>
    </row>
    <row r="77" spans="1:6" x14ac:dyDescent="0.25">
      <c r="A77" s="2" t="s">
        <v>93</v>
      </c>
      <c r="B77" s="2" t="s">
        <v>7</v>
      </c>
      <c r="C77" s="2">
        <v>200.63</v>
      </c>
      <c r="D77" s="2">
        <v>5</v>
      </c>
      <c r="E77" s="2">
        <v>190.6</v>
      </c>
      <c r="F77" s="2" t="s">
        <v>11</v>
      </c>
    </row>
    <row r="78" spans="1:6" x14ac:dyDescent="0.25">
      <c r="A78" s="2" t="s">
        <v>94</v>
      </c>
      <c r="B78" s="2" t="s">
        <v>13</v>
      </c>
      <c r="C78" s="2">
        <v>392.26</v>
      </c>
      <c r="D78" s="2">
        <v>5</v>
      </c>
      <c r="E78" s="2">
        <v>372.65</v>
      </c>
      <c r="F78" s="2" t="s">
        <v>8</v>
      </c>
    </row>
    <row r="79" spans="1:6" x14ac:dyDescent="0.25">
      <c r="A79" s="2" t="s">
        <v>95</v>
      </c>
      <c r="B79" s="2" t="s">
        <v>22</v>
      </c>
      <c r="C79" s="2">
        <v>451.25</v>
      </c>
      <c r="D79" s="2">
        <v>30</v>
      </c>
      <c r="E79" s="2">
        <v>315.88</v>
      </c>
      <c r="F79" s="2" t="s">
        <v>8</v>
      </c>
    </row>
    <row r="80" spans="1:6" x14ac:dyDescent="0.25">
      <c r="A80" s="2" t="s">
        <v>96</v>
      </c>
      <c r="B80" s="2" t="s">
        <v>22</v>
      </c>
      <c r="C80" s="2">
        <v>153.13</v>
      </c>
      <c r="D80" s="2">
        <v>5</v>
      </c>
      <c r="E80" s="2">
        <v>145.47</v>
      </c>
      <c r="F80" s="2" t="s">
        <v>24</v>
      </c>
    </row>
    <row r="81" spans="1:6" x14ac:dyDescent="0.25">
      <c r="A81" s="2" t="s">
        <v>97</v>
      </c>
      <c r="B81" s="2" t="s">
        <v>7</v>
      </c>
      <c r="C81" s="2">
        <v>244.73</v>
      </c>
      <c r="D81" s="2">
        <v>50</v>
      </c>
      <c r="E81" s="2">
        <v>122.36</v>
      </c>
      <c r="F81" s="2" t="s">
        <v>20</v>
      </c>
    </row>
    <row r="82" spans="1:6" x14ac:dyDescent="0.25">
      <c r="A82" s="2" t="s">
        <v>98</v>
      </c>
      <c r="B82" s="2" t="s">
        <v>52</v>
      </c>
      <c r="C82" s="2">
        <v>204.33</v>
      </c>
      <c r="D82" s="2">
        <v>10</v>
      </c>
      <c r="E82" s="2">
        <v>183.9</v>
      </c>
      <c r="F82" s="2" t="s">
        <v>24</v>
      </c>
    </row>
    <row r="83" spans="1:6" x14ac:dyDescent="0.25">
      <c r="A83" s="2" t="s">
        <v>99</v>
      </c>
      <c r="B83" s="2" t="s">
        <v>22</v>
      </c>
      <c r="C83" s="2">
        <v>384.61</v>
      </c>
      <c r="D83" s="2">
        <v>0</v>
      </c>
      <c r="E83" s="2">
        <v>384.61</v>
      </c>
      <c r="F83" s="2" t="s">
        <v>20</v>
      </c>
    </row>
    <row r="84" spans="1:6" x14ac:dyDescent="0.25">
      <c r="A84" s="2" t="s">
        <v>100</v>
      </c>
      <c r="B84" s="2" t="s">
        <v>15</v>
      </c>
      <c r="C84" s="2">
        <v>20.309999999999999</v>
      </c>
      <c r="D84" s="2">
        <v>5</v>
      </c>
      <c r="E84" s="2">
        <v>19.29</v>
      </c>
      <c r="F84" s="2" t="s">
        <v>8</v>
      </c>
    </row>
    <row r="85" spans="1:6" x14ac:dyDescent="0.25">
      <c r="A85" s="2" t="s">
        <v>101</v>
      </c>
      <c r="B85" s="2" t="s">
        <v>15</v>
      </c>
      <c r="C85" s="2">
        <v>411.1</v>
      </c>
      <c r="D85" s="2">
        <v>30</v>
      </c>
      <c r="E85" s="2">
        <v>287.77</v>
      </c>
      <c r="F85" s="2" t="s">
        <v>11</v>
      </c>
    </row>
    <row r="86" spans="1:6" x14ac:dyDescent="0.25">
      <c r="A86" s="2" t="s">
        <v>102</v>
      </c>
      <c r="B86" s="2" t="s">
        <v>15</v>
      </c>
      <c r="C86" s="2">
        <v>482.74</v>
      </c>
      <c r="D86" s="2">
        <v>20</v>
      </c>
      <c r="E86" s="2">
        <v>386.19</v>
      </c>
      <c r="F86" s="2" t="s">
        <v>11</v>
      </c>
    </row>
    <row r="87" spans="1:6" x14ac:dyDescent="0.25">
      <c r="A87" s="2" t="s">
        <v>103</v>
      </c>
      <c r="B87" s="2" t="s">
        <v>15</v>
      </c>
      <c r="C87" s="2">
        <v>400.25</v>
      </c>
      <c r="D87" s="2">
        <v>30</v>
      </c>
      <c r="E87" s="2">
        <v>280.17</v>
      </c>
      <c r="F87" s="2" t="s">
        <v>24</v>
      </c>
    </row>
    <row r="88" spans="1:6" x14ac:dyDescent="0.25">
      <c r="A88" s="2" t="s">
        <v>104</v>
      </c>
      <c r="B88" s="2" t="s">
        <v>15</v>
      </c>
      <c r="C88" s="2">
        <v>416.29</v>
      </c>
      <c r="D88" s="2">
        <v>25</v>
      </c>
      <c r="E88" s="2">
        <v>312.22000000000003</v>
      </c>
      <c r="F88" s="2" t="s">
        <v>20</v>
      </c>
    </row>
    <row r="89" spans="1:6" x14ac:dyDescent="0.25">
      <c r="A89" s="2" t="s">
        <v>105</v>
      </c>
      <c r="B89" s="2" t="s">
        <v>15</v>
      </c>
      <c r="C89" s="2">
        <v>422.63</v>
      </c>
      <c r="D89" s="2">
        <v>50</v>
      </c>
      <c r="E89" s="2">
        <v>211.31</v>
      </c>
      <c r="F89" s="2" t="s">
        <v>20</v>
      </c>
    </row>
    <row r="90" spans="1:6" x14ac:dyDescent="0.25">
      <c r="A90" s="2" t="s">
        <v>106</v>
      </c>
      <c r="B90" s="2" t="s">
        <v>31</v>
      </c>
      <c r="C90" s="2">
        <v>332.89</v>
      </c>
      <c r="D90" s="2">
        <v>0</v>
      </c>
      <c r="E90" s="2">
        <v>332.89</v>
      </c>
      <c r="F90" s="2" t="s">
        <v>8</v>
      </c>
    </row>
    <row r="91" spans="1:6" x14ac:dyDescent="0.25">
      <c r="A91" s="2" t="s">
        <v>107</v>
      </c>
      <c r="B91" s="2" t="s">
        <v>52</v>
      </c>
      <c r="C91" s="2">
        <v>133.61000000000001</v>
      </c>
      <c r="D91" s="2">
        <v>10</v>
      </c>
      <c r="E91" s="2">
        <v>120.25</v>
      </c>
      <c r="F91" s="2" t="s">
        <v>11</v>
      </c>
    </row>
    <row r="92" spans="1:6" x14ac:dyDescent="0.25">
      <c r="A92" s="2" t="s">
        <v>108</v>
      </c>
      <c r="B92" s="2" t="s">
        <v>22</v>
      </c>
      <c r="C92" s="2">
        <v>261.33</v>
      </c>
      <c r="D92" s="2">
        <v>30</v>
      </c>
      <c r="E92" s="2">
        <v>182.93</v>
      </c>
      <c r="F92" s="2" t="s">
        <v>24</v>
      </c>
    </row>
    <row r="93" spans="1:6" x14ac:dyDescent="0.25">
      <c r="A93" s="2" t="s">
        <v>109</v>
      </c>
      <c r="B93" s="2" t="s">
        <v>31</v>
      </c>
      <c r="C93" s="2">
        <v>255.26</v>
      </c>
      <c r="D93" s="2">
        <v>25</v>
      </c>
      <c r="E93" s="2">
        <v>191.44</v>
      </c>
      <c r="F93" s="2" t="s">
        <v>8</v>
      </c>
    </row>
    <row r="94" spans="1:6" x14ac:dyDescent="0.25">
      <c r="A94" s="2" t="s">
        <v>110</v>
      </c>
      <c r="B94" s="2" t="s">
        <v>22</v>
      </c>
      <c r="C94" s="2">
        <v>203.54</v>
      </c>
      <c r="D94" s="2">
        <v>25</v>
      </c>
      <c r="E94" s="2">
        <v>152.66</v>
      </c>
      <c r="F94" s="2" t="s">
        <v>20</v>
      </c>
    </row>
    <row r="95" spans="1:6" x14ac:dyDescent="0.25">
      <c r="A95" s="2" t="s">
        <v>111</v>
      </c>
      <c r="B95" s="2" t="s">
        <v>31</v>
      </c>
      <c r="C95" s="2">
        <v>236.16</v>
      </c>
      <c r="D95" s="2">
        <v>15</v>
      </c>
      <c r="E95" s="2">
        <v>200.74</v>
      </c>
      <c r="F95" s="2" t="s">
        <v>8</v>
      </c>
    </row>
    <row r="96" spans="1:6" x14ac:dyDescent="0.25">
      <c r="A96" s="2" t="s">
        <v>112</v>
      </c>
      <c r="B96" s="2" t="s">
        <v>22</v>
      </c>
      <c r="C96" s="2">
        <v>319.55</v>
      </c>
      <c r="D96" s="2">
        <v>25</v>
      </c>
      <c r="E96" s="2">
        <v>239.66</v>
      </c>
      <c r="F96" s="2" t="s">
        <v>20</v>
      </c>
    </row>
    <row r="97" spans="1:6" x14ac:dyDescent="0.25">
      <c r="A97" s="2" t="s">
        <v>113</v>
      </c>
      <c r="B97" s="2" t="s">
        <v>22</v>
      </c>
      <c r="C97" s="2">
        <v>224.56</v>
      </c>
      <c r="D97" s="2">
        <v>50</v>
      </c>
      <c r="E97" s="2">
        <v>112.28</v>
      </c>
      <c r="F97" s="2" t="s">
        <v>11</v>
      </c>
    </row>
    <row r="98" spans="1:6" x14ac:dyDescent="0.25">
      <c r="A98" s="2" t="s">
        <v>114</v>
      </c>
      <c r="B98" s="2" t="s">
        <v>22</v>
      </c>
      <c r="C98" s="2">
        <v>96.27</v>
      </c>
      <c r="D98" s="2">
        <v>30</v>
      </c>
      <c r="E98" s="2">
        <v>67.39</v>
      </c>
      <c r="F98" s="2" t="s">
        <v>24</v>
      </c>
    </row>
    <row r="99" spans="1:6" x14ac:dyDescent="0.25">
      <c r="A99" s="2" t="s">
        <v>115</v>
      </c>
      <c r="B99" s="2" t="s">
        <v>13</v>
      </c>
      <c r="C99" s="2">
        <v>473.05</v>
      </c>
      <c r="D99" s="2">
        <v>50</v>
      </c>
      <c r="E99" s="2">
        <v>236.53</v>
      </c>
      <c r="F99" s="2" t="s">
        <v>8</v>
      </c>
    </row>
    <row r="100" spans="1:6" x14ac:dyDescent="0.25">
      <c r="A100" s="2" t="s">
        <v>116</v>
      </c>
      <c r="B100" s="2" t="s">
        <v>22</v>
      </c>
      <c r="C100" s="2">
        <v>412.56</v>
      </c>
      <c r="D100" s="2">
        <v>50</v>
      </c>
      <c r="E100" s="2">
        <v>206.28</v>
      </c>
      <c r="F100" s="2" t="s">
        <v>8</v>
      </c>
    </row>
    <row r="101" spans="1:6" x14ac:dyDescent="0.25">
      <c r="A101" s="2" t="s">
        <v>117</v>
      </c>
      <c r="B101" s="2" t="s">
        <v>31</v>
      </c>
      <c r="C101" s="2">
        <v>414.86</v>
      </c>
      <c r="D101" s="2">
        <v>50</v>
      </c>
      <c r="E101" s="2">
        <v>207.43</v>
      </c>
      <c r="F101" s="2" t="s">
        <v>8</v>
      </c>
    </row>
    <row r="102" spans="1:6" x14ac:dyDescent="0.25">
      <c r="A102" s="2" t="s">
        <v>118</v>
      </c>
      <c r="B102" s="2" t="s">
        <v>22</v>
      </c>
      <c r="C102" s="2">
        <v>87.2</v>
      </c>
      <c r="D102" s="2">
        <v>5</v>
      </c>
      <c r="E102" s="2">
        <v>82.84</v>
      </c>
      <c r="F102" s="2" t="s">
        <v>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I112"/>
  <sheetViews>
    <sheetView topLeftCell="A88" workbookViewId="0">
      <selection activeCell="G89" sqref="G89"/>
    </sheetView>
  </sheetViews>
  <sheetFormatPr defaultRowHeight="15" x14ac:dyDescent="0.25"/>
  <cols>
    <col min="1" max="1" width="17.7109375" customWidth="1"/>
    <col min="2" max="2" width="16.28515625" customWidth="1"/>
    <col min="3" max="3" width="8" customWidth="1"/>
    <col min="4" max="4" width="8.42578125" customWidth="1"/>
    <col min="5" max="5" width="10.5703125" customWidth="1"/>
    <col min="6" max="6" width="15.5703125" customWidth="1"/>
    <col min="7" max="8" width="8" customWidth="1"/>
    <col min="9" max="9" width="11.28515625" customWidth="1"/>
    <col min="10" max="10" width="16.5703125" bestFit="1" customWidth="1"/>
    <col min="11" max="11" width="21.7109375" bestFit="1" customWidth="1"/>
    <col min="12" max="12" width="16.5703125" bestFit="1" customWidth="1"/>
    <col min="13" max="13" width="21.7109375" bestFit="1" customWidth="1"/>
    <col min="14" max="14" width="16.5703125" bestFit="1" customWidth="1"/>
    <col min="15" max="16" width="21.7109375" bestFit="1" customWidth="1"/>
    <col min="17" max="17" width="26.7109375" bestFit="1" customWidth="1"/>
    <col min="18" max="18" width="19" bestFit="1" customWidth="1"/>
    <col min="19" max="19" width="21.7109375" bestFit="1" customWidth="1"/>
    <col min="20" max="20" width="16.5703125" bestFit="1" customWidth="1"/>
    <col min="21" max="21" width="19" bestFit="1" customWidth="1"/>
    <col min="22" max="23" width="21.7109375" bestFit="1" customWidth="1"/>
    <col min="24" max="24" width="24" bestFit="1" customWidth="1"/>
    <col min="25" max="25" width="26.7109375" bestFit="1" customWidth="1"/>
    <col min="26" max="26" width="8.42578125" customWidth="1"/>
    <col min="27" max="27" width="9.42578125" customWidth="1"/>
    <col min="28" max="28" width="8.42578125" customWidth="1"/>
    <col min="29" max="29" width="10.42578125" customWidth="1"/>
    <col min="30" max="30" width="10.5703125" customWidth="1"/>
    <col min="31" max="31" width="10.42578125" customWidth="1"/>
    <col min="32" max="32" width="8.42578125" customWidth="1"/>
    <col min="33" max="33" width="10.42578125" customWidth="1"/>
    <col min="34" max="34" width="7.140625" customWidth="1"/>
    <col min="35" max="35" width="9.42578125" customWidth="1"/>
    <col min="36" max="36" width="10.5703125" customWidth="1"/>
    <col min="37" max="37" width="10.42578125" customWidth="1"/>
    <col min="38" max="38" width="7.85546875" customWidth="1"/>
    <col min="39" max="39" width="10.42578125" customWidth="1"/>
    <col min="40" max="40" width="8.85546875" customWidth="1"/>
    <col min="41" max="41" width="11.42578125" customWidth="1"/>
    <col min="42" max="42" width="7.85546875" customWidth="1"/>
    <col min="43" max="43" width="10.42578125" customWidth="1"/>
    <col min="44" max="44" width="8.85546875" customWidth="1"/>
    <col min="45" max="45" width="11.42578125" customWidth="1"/>
    <col min="46" max="46" width="15.5703125" customWidth="1"/>
    <col min="47" max="47" width="11.42578125" customWidth="1"/>
    <col min="48" max="48" width="15.5703125" customWidth="1"/>
    <col min="49" max="49" width="11.42578125" customWidth="1"/>
    <col min="50" max="50" width="10.5703125" customWidth="1"/>
    <col min="51" max="51" width="11.42578125" customWidth="1"/>
    <col min="52" max="52" width="8.85546875" customWidth="1"/>
    <col min="53" max="53" width="11.42578125" customWidth="1"/>
    <col min="54" max="54" width="8.85546875" customWidth="1"/>
    <col min="55" max="55" width="11.42578125" customWidth="1"/>
    <col min="56" max="56" width="8.85546875" customWidth="1"/>
    <col min="57" max="57" width="11.42578125" customWidth="1"/>
    <col min="58" max="58" width="8.85546875" customWidth="1"/>
    <col min="59" max="59" width="11.42578125" customWidth="1"/>
    <col min="60" max="60" width="10.5703125" customWidth="1"/>
    <col min="61" max="61" width="11.42578125" customWidth="1"/>
    <col min="62" max="62" width="10.5703125" customWidth="1"/>
    <col min="63" max="63" width="11.42578125" customWidth="1"/>
    <col min="64" max="64" width="10.5703125" customWidth="1"/>
    <col min="65" max="65" width="11.42578125" customWidth="1"/>
    <col min="66" max="66" width="8.85546875" customWidth="1"/>
    <col min="67" max="67" width="11.42578125" customWidth="1"/>
    <col min="68" max="68" width="8.85546875" customWidth="1"/>
    <col min="69" max="69" width="11.42578125" customWidth="1"/>
    <col min="70" max="70" width="8.85546875" customWidth="1"/>
    <col min="71" max="71" width="11.42578125" customWidth="1"/>
    <col min="72" max="72" width="10.5703125" customWidth="1"/>
    <col min="73" max="73" width="11.42578125" customWidth="1"/>
    <col min="74" max="74" width="7.85546875" customWidth="1"/>
    <col min="75" max="75" width="10.42578125" customWidth="1"/>
    <col min="76" max="76" width="8.85546875" customWidth="1"/>
    <col min="77" max="77" width="11.42578125" customWidth="1"/>
    <col min="78" max="78" width="8.42578125" customWidth="1"/>
    <col min="79" max="79" width="10.42578125" customWidth="1"/>
    <col min="80" max="80" width="8.85546875" customWidth="1"/>
    <col min="81" max="81" width="11.42578125" customWidth="1"/>
    <col min="82" max="82" width="8.85546875" customWidth="1"/>
    <col min="83" max="83" width="11.42578125" customWidth="1"/>
    <col min="84" max="84" width="15.5703125" customWidth="1"/>
    <col min="85" max="85" width="11.42578125" customWidth="1"/>
    <col min="86" max="86" width="8.85546875" customWidth="1"/>
    <col min="87" max="87" width="11.42578125" customWidth="1"/>
    <col min="88" max="88" width="7.85546875" customWidth="1"/>
    <col min="89" max="89" width="10.42578125" customWidth="1"/>
    <col min="90" max="90" width="10.5703125" customWidth="1"/>
    <col min="91" max="91" width="11.42578125" customWidth="1"/>
    <col min="92" max="92" width="8.85546875" customWidth="1"/>
    <col min="93" max="93" width="11.42578125" customWidth="1"/>
    <col min="94" max="94" width="8.85546875" customWidth="1"/>
    <col min="95" max="95" width="11.42578125" customWidth="1"/>
    <col min="96" max="96" width="8.85546875" customWidth="1"/>
    <col min="97" max="97" width="11.42578125" customWidth="1"/>
    <col min="98" max="98" width="8.85546875" customWidth="1"/>
    <col min="99" max="99" width="11.42578125" customWidth="1"/>
    <col min="100" max="100" width="8.85546875" customWidth="1"/>
    <col min="101" max="101" width="11.42578125" customWidth="1"/>
    <col min="102" max="102" width="7.85546875" customWidth="1"/>
    <col min="103" max="103" width="10.42578125" customWidth="1"/>
    <col min="104" max="104" width="8.85546875" customWidth="1"/>
    <col min="105" max="105" width="11.42578125" customWidth="1"/>
    <col min="106" max="106" width="15.5703125" customWidth="1"/>
    <col min="107" max="107" width="11.42578125" customWidth="1"/>
    <col min="108" max="108" width="8.85546875" customWidth="1"/>
    <col min="109" max="109" width="11.42578125" customWidth="1"/>
    <col min="110" max="110" width="15.5703125" customWidth="1"/>
    <col min="111" max="111" width="11.42578125" customWidth="1"/>
    <col min="112" max="112" width="7.85546875" customWidth="1"/>
    <col min="113" max="113" width="10.42578125" customWidth="1"/>
    <col min="114" max="114" width="10.5703125" customWidth="1"/>
    <col min="115" max="115" width="11.42578125" customWidth="1"/>
    <col min="116" max="116" width="8.85546875" customWidth="1"/>
    <col min="117" max="117" width="11.42578125" customWidth="1"/>
    <col min="118" max="118" width="8.85546875" customWidth="1"/>
    <col min="119" max="119" width="11.42578125" customWidth="1"/>
    <col min="120" max="120" width="10.5703125" customWidth="1"/>
    <col min="121" max="121" width="11.42578125" customWidth="1"/>
    <col min="122" max="122" width="6.28515625" customWidth="1"/>
    <col min="123" max="123" width="8.85546875" customWidth="1"/>
    <col min="124" max="124" width="7.85546875" customWidth="1"/>
    <col min="125" max="125" width="10.42578125" customWidth="1"/>
    <col min="126" max="126" width="8.85546875" customWidth="1"/>
    <col min="127" max="127" width="11.42578125" customWidth="1"/>
    <col min="128" max="128" width="8.85546875" customWidth="1"/>
    <col min="129" max="129" width="11.42578125" customWidth="1"/>
    <col min="130" max="130" width="15.5703125" customWidth="1"/>
    <col min="131" max="131" width="11.42578125" customWidth="1"/>
    <col min="132" max="132" width="8.85546875" customWidth="1"/>
    <col min="133" max="133" width="11.42578125" customWidth="1"/>
    <col min="134" max="134" width="8.85546875" customWidth="1"/>
    <col min="135" max="135" width="11.42578125" customWidth="1"/>
    <col min="136" max="136" width="8.85546875" customWidth="1"/>
    <col min="137" max="137" width="11.42578125" customWidth="1"/>
    <col min="138" max="138" width="7.85546875" customWidth="1"/>
    <col min="139" max="139" width="10.42578125" customWidth="1"/>
    <col min="140" max="140" width="8.85546875" customWidth="1"/>
    <col min="141" max="141" width="11.42578125" customWidth="1"/>
    <col min="142" max="142" width="8.85546875" customWidth="1"/>
    <col min="143" max="143" width="11.42578125" customWidth="1"/>
    <col min="144" max="144" width="8.85546875" customWidth="1"/>
    <col min="145" max="145" width="11.42578125" customWidth="1"/>
    <col min="146" max="146" width="15.5703125" customWidth="1"/>
    <col min="147" max="147" width="11.42578125" customWidth="1"/>
    <col min="148" max="148" width="8.85546875" customWidth="1"/>
    <col min="149" max="149" width="11.42578125" customWidth="1"/>
    <col min="150" max="150" width="8.85546875" customWidth="1"/>
    <col min="151" max="151" width="11.42578125" customWidth="1"/>
    <col min="152" max="152" width="10.5703125" customWidth="1"/>
    <col min="153" max="153" width="11.42578125" customWidth="1"/>
    <col min="154" max="154" width="10.5703125" customWidth="1"/>
    <col min="155" max="155" width="11.42578125" customWidth="1"/>
    <col min="156" max="156" width="8.85546875" customWidth="1"/>
    <col min="157" max="157" width="11.42578125" customWidth="1"/>
    <col min="158" max="158" width="7.85546875" customWidth="1"/>
    <col min="159" max="159" width="10.42578125" customWidth="1"/>
    <col min="160" max="160" width="8.85546875" customWidth="1"/>
    <col min="161" max="161" width="11.42578125" customWidth="1"/>
    <col min="162" max="162" width="10.5703125" customWidth="1"/>
    <col min="163" max="163" width="11.42578125" customWidth="1"/>
    <col min="164" max="164" width="7.85546875" customWidth="1"/>
    <col min="165" max="165" width="10.42578125" customWidth="1"/>
    <col min="166" max="166" width="15.5703125" customWidth="1"/>
    <col min="167" max="167" width="11.42578125" customWidth="1"/>
    <col min="168" max="168" width="8.85546875" customWidth="1"/>
    <col min="169" max="169" width="11.42578125" customWidth="1"/>
    <col min="170" max="170" width="10.5703125" customWidth="1"/>
    <col min="171" max="171" width="11.42578125" customWidth="1"/>
    <col min="172" max="172" width="15.5703125" customWidth="1"/>
    <col min="173" max="173" width="11.42578125" customWidth="1"/>
    <col min="174" max="174" width="8.85546875" customWidth="1"/>
    <col min="175" max="175" width="11.42578125" customWidth="1"/>
    <col min="176" max="176" width="8.85546875" customWidth="1"/>
    <col min="177" max="177" width="11.42578125" customWidth="1"/>
    <col min="178" max="178" width="10.5703125" customWidth="1"/>
    <col min="179" max="179" width="11.42578125" customWidth="1"/>
    <col min="180" max="180" width="8.85546875" customWidth="1"/>
    <col min="181" max="181" width="11.42578125" customWidth="1"/>
    <col min="182" max="182" width="8.85546875" customWidth="1"/>
    <col min="183" max="183" width="11.42578125" customWidth="1"/>
    <col min="184" max="184" width="8.85546875" customWidth="1"/>
    <col min="185" max="185" width="11.42578125" customWidth="1"/>
    <col min="186" max="186" width="7.85546875" customWidth="1"/>
    <col min="187" max="187" width="10.42578125" customWidth="1"/>
    <col min="188" max="188" width="8.85546875" customWidth="1"/>
    <col min="189" max="189" width="11.42578125" customWidth="1"/>
    <col min="190" max="190" width="15.5703125" customWidth="1"/>
    <col min="191" max="191" width="10.42578125" customWidth="1"/>
    <col min="192" max="192" width="15.5703125" customWidth="1"/>
    <col min="193" max="193" width="11.42578125" customWidth="1"/>
    <col min="194" max="194" width="8.85546875" customWidth="1"/>
    <col min="195" max="195" width="11.42578125" customWidth="1"/>
    <col min="196" max="196" width="8.85546875" customWidth="1"/>
    <col min="197" max="197" width="11.42578125" customWidth="1"/>
    <col min="198" max="198" width="8.42578125" customWidth="1"/>
    <col min="199" max="199" width="10.42578125" customWidth="1"/>
    <col min="200" max="200" width="8.85546875" customWidth="1"/>
    <col min="201" max="201" width="11.42578125" customWidth="1"/>
    <col min="202" max="202" width="8.85546875" customWidth="1"/>
    <col min="203" max="203" width="11.42578125" customWidth="1"/>
    <col min="204" max="204" width="11.28515625" customWidth="1"/>
    <col min="205" max="205" width="10.42578125" customWidth="1"/>
    <col min="206" max="206" width="10.7109375" customWidth="1"/>
    <col min="207" max="207" width="10.42578125" customWidth="1"/>
    <col min="208" max="208" width="10.7109375" customWidth="1"/>
    <col min="209" max="209" width="10.42578125" customWidth="1"/>
    <col min="210" max="210" width="11" customWidth="1"/>
    <col min="211" max="211" width="10.42578125" customWidth="1"/>
    <col min="212" max="212" width="11.140625" customWidth="1"/>
    <col min="213" max="215" width="10.42578125" customWidth="1"/>
    <col min="216" max="216" width="11" customWidth="1"/>
    <col min="217" max="217" width="10.42578125" customWidth="1"/>
    <col min="218" max="218" width="11.28515625" customWidth="1"/>
    <col min="219" max="219" width="9.42578125" customWidth="1"/>
    <col min="220" max="220" width="10" customWidth="1"/>
    <col min="221" max="221" width="10.42578125" customWidth="1"/>
    <col min="222" max="222" width="10.7109375" customWidth="1"/>
    <col min="223" max="223" width="10.42578125" customWidth="1"/>
    <col min="224" max="224" width="10.85546875" customWidth="1"/>
    <col min="225" max="225" width="10.42578125" customWidth="1"/>
    <col min="226" max="226" width="10.7109375" customWidth="1"/>
    <col min="227" max="227" width="10.42578125" customWidth="1"/>
    <col min="228" max="228" width="11" customWidth="1"/>
    <col min="229" max="229" width="9.42578125" customWidth="1"/>
    <col min="230" max="230" width="11" customWidth="1"/>
    <col min="231" max="231" width="10.42578125" customWidth="1"/>
    <col min="232" max="232" width="11.140625" customWidth="1"/>
    <col min="233" max="233" width="10.42578125" customWidth="1"/>
    <col min="234" max="234" width="10.140625" customWidth="1"/>
    <col min="235" max="236" width="10.42578125" customWidth="1"/>
    <col min="237" max="237" width="9.42578125" customWidth="1"/>
    <col min="238" max="238" width="10.5703125" customWidth="1"/>
    <col min="239" max="239" width="10.42578125" customWidth="1"/>
    <col min="240" max="240" width="10.7109375" customWidth="1"/>
    <col min="241" max="241" width="10.42578125" customWidth="1"/>
    <col min="242" max="242" width="10.7109375" customWidth="1"/>
    <col min="243" max="243" width="11.42578125" customWidth="1"/>
    <col min="244" max="245" width="10.42578125" customWidth="1"/>
    <col min="246" max="246" width="10.7109375" customWidth="1"/>
    <col min="247" max="247" width="11.42578125" customWidth="1"/>
    <col min="248" max="248" width="10.7109375" customWidth="1"/>
    <col min="249" max="249" width="11.42578125" customWidth="1"/>
    <col min="250" max="250" width="11" customWidth="1"/>
    <col min="251" max="251" width="11.42578125" customWidth="1"/>
    <col min="252" max="252" width="10.28515625" customWidth="1"/>
    <col min="253" max="253" width="11.42578125" customWidth="1"/>
    <col min="254" max="254" width="10.7109375" customWidth="1"/>
    <col min="255" max="255" width="11.42578125" customWidth="1"/>
    <col min="256" max="256" width="11" customWidth="1"/>
    <col min="257" max="257" width="11.42578125" customWidth="1"/>
    <col min="258" max="258" width="11.140625" customWidth="1"/>
    <col min="259" max="259" width="11.42578125" customWidth="1"/>
    <col min="260" max="260" width="10.7109375" customWidth="1"/>
    <col min="261" max="261" width="11.42578125" customWidth="1"/>
    <col min="262" max="262" width="11.140625" customWidth="1"/>
    <col min="263" max="263" width="11.42578125" customWidth="1"/>
    <col min="264" max="264" width="11.28515625" customWidth="1"/>
    <col min="265" max="265" width="11.42578125" customWidth="1"/>
    <col min="266" max="266" width="10.85546875" customWidth="1"/>
    <col min="267" max="267" width="11.42578125" customWidth="1"/>
    <col min="268" max="268" width="10.5703125" customWidth="1"/>
    <col min="269" max="269" width="11.42578125" customWidth="1"/>
    <col min="270" max="270" width="10.85546875" customWidth="1"/>
    <col min="271" max="271" width="11.42578125" customWidth="1"/>
    <col min="272" max="272" width="10.85546875" customWidth="1"/>
    <col min="273" max="273" width="11.42578125" customWidth="1"/>
    <col min="274" max="274" width="10.7109375" customWidth="1"/>
    <col min="275" max="275" width="11.42578125" customWidth="1"/>
    <col min="276" max="276" width="11" customWidth="1"/>
    <col min="277" max="277" width="10.42578125" customWidth="1"/>
    <col min="278" max="278" width="10.28515625" customWidth="1"/>
    <col min="279" max="279" width="11.42578125" customWidth="1"/>
    <col min="280" max="281" width="10.42578125" customWidth="1"/>
    <col min="282" max="282" width="10.5703125" customWidth="1"/>
    <col min="283" max="283" width="11.42578125" customWidth="1"/>
    <col min="284" max="284" width="10.42578125" customWidth="1"/>
    <col min="285" max="285" width="11.42578125" customWidth="1"/>
    <col min="286" max="286" width="10.5703125" customWidth="1"/>
    <col min="287" max="287" width="11.42578125" customWidth="1"/>
    <col min="288" max="288" width="10.28515625" customWidth="1"/>
    <col min="289" max="289" width="11.42578125" customWidth="1"/>
    <col min="290" max="290" width="10.85546875" customWidth="1"/>
    <col min="291" max="292" width="10.42578125" customWidth="1"/>
    <col min="293" max="293" width="11.42578125" customWidth="1"/>
    <col min="294" max="294" width="10.5703125" customWidth="1"/>
    <col min="295" max="295" width="11.42578125" customWidth="1"/>
    <col min="296" max="296" width="11" customWidth="1"/>
    <col min="297" max="297" width="11.42578125" customWidth="1"/>
    <col min="298" max="298" width="11" customWidth="1"/>
    <col min="299" max="299" width="11.42578125" customWidth="1"/>
    <col min="300" max="300" width="10.42578125" customWidth="1"/>
    <col min="301" max="301" width="11.42578125" customWidth="1"/>
    <col min="302" max="302" width="11" customWidth="1"/>
    <col min="303" max="303" width="11.42578125" customWidth="1"/>
    <col min="304" max="304" width="10.5703125" customWidth="1"/>
    <col min="305" max="305" width="10.42578125" customWidth="1"/>
    <col min="306" max="306" width="10.5703125" customWidth="1"/>
    <col min="307" max="307" width="11.42578125" customWidth="1"/>
    <col min="308" max="308" width="10.7109375" customWidth="1"/>
    <col min="309" max="309" width="11.42578125" customWidth="1"/>
    <col min="310" max="310" width="11" customWidth="1"/>
    <col min="311" max="311" width="11.42578125" customWidth="1"/>
    <col min="312" max="312" width="10.7109375" customWidth="1"/>
    <col min="313" max="313" width="11.42578125" customWidth="1"/>
    <col min="314" max="314" width="9.85546875" customWidth="1"/>
    <col min="315" max="316" width="10.42578125" customWidth="1"/>
    <col min="317" max="317" width="11.42578125" customWidth="1"/>
    <col min="318" max="318" width="10.5703125" customWidth="1"/>
    <col min="319" max="319" width="11.42578125" customWidth="1"/>
    <col min="320" max="320" width="10" customWidth="1"/>
    <col min="321" max="321" width="11.42578125" customWidth="1"/>
    <col min="322" max="322" width="10.28515625" customWidth="1"/>
    <col min="323" max="323" width="11.42578125" customWidth="1"/>
    <col min="324" max="324" width="11" customWidth="1"/>
    <col min="325" max="325" width="8.85546875" customWidth="1"/>
    <col min="326" max="326" width="10.85546875" customWidth="1"/>
    <col min="327" max="327" width="10.42578125" customWidth="1"/>
    <col min="328" max="328" width="10.7109375" customWidth="1"/>
    <col min="329" max="329" width="11.42578125" customWidth="1"/>
    <col min="330" max="330" width="10.42578125" customWidth="1"/>
    <col min="331" max="331" width="11.42578125" customWidth="1"/>
    <col min="332" max="332" width="10.5703125" customWidth="1"/>
    <col min="333" max="333" width="11.42578125" customWidth="1"/>
    <col min="334" max="334" width="10.7109375" customWidth="1"/>
    <col min="335" max="335" width="11.42578125" customWidth="1"/>
    <col min="336" max="336" width="10.5703125" customWidth="1"/>
    <col min="337" max="337" width="11.42578125" customWidth="1"/>
    <col min="338" max="338" width="10.42578125" customWidth="1"/>
    <col min="339" max="339" width="11.42578125" customWidth="1"/>
    <col min="340" max="340" width="10.7109375" customWidth="1"/>
    <col min="341" max="341" width="10.42578125" customWidth="1"/>
    <col min="342" max="342" width="10.28515625" customWidth="1"/>
    <col min="343" max="343" width="11.42578125" customWidth="1"/>
    <col min="344" max="344" width="10.85546875" customWidth="1"/>
    <col min="345" max="345" width="11.42578125" customWidth="1"/>
    <col min="346" max="346" width="10.42578125" customWidth="1"/>
    <col min="347" max="347" width="11.42578125" customWidth="1"/>
    <col min="348" max="348" width="10.7109375" customWidth="1"/>
    <col min="349" max="349" width="11.42578125" customWidth="1"/>
    <col min="350" max="350" width="10.85546875" customWidth="1"/>
    <col min="351" max="351" width="11.42578125" customWidth="1"/>
    <col min="352" max="352" width="11.140625" customWidth="1"/>
    <col min="353" max="353" width="11.42578125" customWidth="1"/>
    <col min="354" max="354" width="10.85546875" customWidth="1"/>
    <col min="355" max="355" width="11.42578125" customWidth="1"/>
    <col min="356" max="356" width="10.85546875" customWidth="1"/>
    <col min="357" max="357" width="11.42578125" customWidth="1"/>
    <col min="358" max="358" width="10.7109375" customWidth="1"/>
    <col min="359" max="359" width="11.42578125" customWidth="1"/>
    <col min="360" max="360" width="10.28515625" customWidth="1"/>
    <col min="361" max="361" width="10.42578125" customWidth="1"/>
    <col min="362" max="362" width="10.85546875" customWidth="1"/>
    <col min="363" max="363" width="11.42578125" customWidth="1"/>
    <col min="364" max="364" width="10.85546875" customWidth="1"/>
    <col min="365" max="365" width="11.42578125" customWidth="1"/>
    <col min="366" max="366" width="10.5703125" customWidth="1"/>
    <col min="367" max="367" width="10.42578125" customWidth="1"/>
    <col min="368" max="368" width="10.85546875" customWidth="1"/>
    <col min="369" max="369" width="11.42578125" customWidth="1"/>
    <col min="370" max="370" width="10.85546875" customWidth="1"/>
    <col min="371" max="371" width="11.42578125" customWidth="1"/>
    <col min="372" max="372" width="10.140625" customWidth="1"/>
    <col min="373" max="373" width="11.42578125" customWidth="1"/>
    <col min="374" max="374" width="10.42578125" customWidth="1"/>
    <col min="375" max="375" width="11.42578125" customWidth="1"/>
    <col min="376" max="376" width="10.7109375" customWidth="1"/>
    <col min="377" max="377" width="11.42578125" customWidth="1"/>
    <col min="378" max="378" width="11.140625" customWidth="1"/>
    <col min="379" max="379" width="11.42578125" customWidth="1"/>
    <col min="380" max="380" width="10.28515625" customWidth="1"/>
    <col min="381" max="381" width="11.42578125" customWidth="1"/>
    <col min="382" max="382" width="11" customWidth="1"/>
    <col min="383" max="383" width="11.42578125" customWidth="1"/>
    <col min="384" max="384" width="10.42578125" customWidth="1"/>
    <col min="385" max="385" width="11.42578125" customWidth="1"/>
    <col min="386" max="386" width="10.5703125" customWidth="1"/>
    <col min="387" max="387" width="11.42578125" customWidth="1"/>
    <col min="388" max="388" width="10.85546875" customWidth="1"/>
    <col min="389" max="389" width="10.42578125" customWidth="1"/>
    <col min="390" max="390" width="10.85546875" customWidth="1"/>
    <col min="391" max="391" width="11.42578125" customWidth="1"/>
    <col min="392" max="392" width="11" customWidth="1"/>
    <col min="393" max="393" width="10.42578125" customWidth="1"/>
    <col min="394" max="394" width="11" customWidth="1"/>
    <col min="395" max="395" width="11.42578125" customWidth="1"/>
    <col min="396" max="396" width="10.85546875" customWidth="1"/>
    <col min="397" max="397" width="11.42578125" customWidth="1"/>
    <col min="398" max="398" width="10.7109375" customWidth="1"/>
    <col min="399" max="399" width="11.42578125" customWidth="1"/>
    <col min="400" max="400" width="10.85546875" customWidth="1"/>
    <col min="401" max="401" width="10.42578125" customWidth="1"/>
    <col min="402" max="402" width="10.140625" customWidth="1"/>
    <col min="403" max="403" width="11.42578125" customWidth="1"/>
    <col min="404" max="404" width="10.28515625" customWidth="1"/>
    <col min="405" max="405" width="11.42578125" customWidth="1"/>
    <col min="406" max="406" width="24" customWidth="1"/>
    <col min="407" max="407" width="26.7109375" customWidth="1"/>
    <col min="408" max="408" width="10.7109375" customWidth="1"/>
    <col min="409" max="409" width="10.42578125" customWidth="1"/>
    <col min="410" max="410" width="10.7109375" customWidth="1"/>
    <col min="411" max="411" width="10.42578125" customWidth="1"/>
    <col min="412" max="412" width="11" customWidth="1"/>
    <col min="413" max="413" width="10.42578125" customWidth="1"/>
    <col min="414" max="414" width="11.140625" customWidth="1"/>
    <col min="415" max="417" width="10.42578125" customWidth="1"/>
    <col min="418" max="418" width="11" customWidth="1"/>
    <col min="419" max="419" width="10.42578125" customWidth="1"/>
    <col min="420" max="420" width="11.28515625" customWidth="1"/>
    <col min="421" max="421" width="9.42578125" customWidth="1"/>
    <col min="422" max="422" width="10" customWidth="1"/>
    <col min="423" max="423" width="10.42578125" customWidth="1"/>
    <col min="424" max="424" width="10.7109375" customWidth="1"/>
    <col min="425" max="425" width="10.42578125" customWidth="1"/>
    <col min="426" max="426" width="10.85546875" customWidth="1"/>
    <col min="427" max="427" width="10.42578125" customWidth="1"/>
    <col min="428" max="428" width="10.7109375" customWidth="1"/>
    <col min="429" max="429" width="10.42578125" customWidth="1"/>
    <col min="430" max="430" width="11" customWidth="1"/>
    <col min="431" max="431" width="9.42578125" customWidth="1"/>
    <col min="432" max="432" width="11" customWidth="1"/>
    <col min="433" max="433" width="10.42578125" customWidth="1"/>
    <col min="434" max="434" width="11.140625" customWidth="1"/>
    <col min="435" max="435" width="10.42578125" customWidth="1"/>
    <col min="436" max="436" width="10.140625" customWidth="1"/>
    <col min="437" max="438" width="10.42578125" customWidth="1"/>
    <col min="439" max="439" width="9.42578125" customWidth="1"/>
    <col min="440" max="440" width="10.5703125" customWidth="1"/>
    <col min="441" max="441" width="10.42578125" customWidth="1"/>
    <col min="442" max="442" width="10.7109375" customWidth="1"/>
    <col min="443" max="443" width="10.42578125" customWidth="1"/>
    <col min="444" max="444" width="10.7109375" customWidth="1"/>
    <col min="445" max="445" width="11.42578125" customWidth="1"/>
    <col min="446" max="447" width="10.42578125" customWidth="1"/>
    <col min="448" max="448" width="10.7109375" customWidth="1"/>
    <col min="449" max="449" width="11.42578125" customWidth="1"/>
    <col min="450" max="450" width="10.7109375" customWidth="1"/>
    <col min="451" max="451" width="11.42578125" customWidth="1"/>
    <col min="452" max="452" width="11" customWidth="1"/>
    <col min="453" max="453" width="11.42578125" customWidth="1"/>
    <col min="454" max="454" width="10.28515625" customWidth="1"/>
    <col min="455" max="455" width="11.42578125" customWidth="1"/>
    <col min="456" max="456" width="10.7109375" customWidth="1"/>
    <col min="457" max="457" width="11.42578125" customWidth="1"/>
    <col min="458" max="458" width="11" customWidth="1"/>
    <col min="459" max="459" width="11.42578125" customWidth="1"/>
    <col min="460" max="460" width="11.140625" customWidth="1"/>
    <col min="461" max="461" width="11.42578125" customWidth="1"/>
    <col min="462" max="462" width="10.7109375" customWidth="1"/>
    <col min="463" max="463" width="11.42578125" customWidth="1"/>
    <col min="464" max="464" width="11.140625" customWidth="1"/>
    <col min="465" max="465" width="11.42578125" customWidth="1"/>
    <col min="466" max="466" width="11.28515625" customWidth="1"/>
    <col min="467" max="467" width="11.42578125" customWidth="1"/>
    <col min="468" max="468" width="10.85546875" customWidth="1"/>
    <col min="469" max="469" width="11.42578125" customWidth="1"/>
    <col min="470" max="470" width="10.5703125" customWidth="1"/>
    <col min="471" max="471" width="11.42578125" customWidth="1"/>
    <col min="472" max="472" width="10.85546875" customWidth="1"/>
    <col min="473" max="473" width="11.42578125" customWidth="1"/>
    <col min="474" max="474" width="10.85546875" customWidth="1"/>
    <col min="475" max="475" width="11.42578125" customWidth="1"/>
    <col min="476" max="476" width="10.7109375" customWidth="1"/>
    <col min="477" max="477" width="11.42578125" customWidth="1"/>
    <col min="478" max="478" width="11" customWidth="1"/>
    <col min="479" max="479" width="10.42578125" customWidth="1"/>
    <col min="480" max="480" width="10.28515625" customWidth="1"/>
    <col min="481" max="481" width="11.42578125" customWidth="1"/>
    <col min="482" max="483" width="10.42578125" customWidth="1"/>
    <col min="484" max="484" width="10.5703125" customWidth="1"/>
    <col min="485" max="485" width="11.42578125" customWidth="1"/>
    <col min="486" max="486" width="10.42578125" customWidth="1"/>
    <col min="487" max="487" width="11.42578125" customWidth="1"/>
    <col min="488" max="488" width="10.5703125" customWidth="1"/>
    <col min="489" max="489" width="11.42578125" customWidth="1"/>
    <col min="490" max="490" width="10.28515625" customWidth="1"/>
    <col min="491" max="491" width="11.42578125" customWidth="1"/>
    <col min="492" max="492" width="10.85546875" customWidth="1"/>
    <col min="493" max="494" width="10.42578125" customWidth="1"/>
    <col min="495" max="495" width="11.42578125" customWidth="1"/>
    <col min="496" max="496" width="10.5703125" customWidth="1"/>
    <col min="497" max="497" width="11.42578125" customWidth="1"/>
    <col min="498" max="498" width="11" customWidth="1"/>
    <col min="499" max="499" width="11.42578125" customWidth="1"/>
    <col min="500" max="500" width="11" customWidth="1"/>
    <col min="501" max="501" width="11.42578125" customWidth="1"/>
    <col min="502" max="502" width="10.42578125" customWidth="1"/>
    <col min="503" max="503" width="11.42578125" customWidth="1"/>
    <col min="504" max="504" width="11" customWidth="1"/>
    <col min="505" max="505" width="11.42578125" customWidth="1"/>
    <col min="506" max="506" width="10.5703125" customWidth="1"/>
    <col min="507" max="507" width="10.42578125" customWidth="1"/>
    <col min="508" max="508" width="10.5703125" customWidth="1"/>
    <col min="509" max="509" width="11.42578125" customWidth="1"/>
    <col min="510" max="510" width="10.7109375" customWidth="1"/>
    <col min="511" max="511" width="11.42578125" customWidth="1"/>
    <col min="512" max="512" width="11" customWidth="1"/>
    <col min="513" max="513" width="11.42578125" customWidth="1"/>
    <col min="514" max="514" width="10.7109375" customWidth="1"/>
    <col min="515" max="515" width="11.42578125" customWidth="1"/>
    <col min="516" max="516" width="9.85546875" customWidth="1"/>
    <col min="517" max="518" width="10.42578125" customWidth="1"/>
    <col min="519" max="519" width="11.42578125" customWidth="1"/>
    <col min="520" max="520" width="10.5703125" customWidth="1"/>
    <col min="521" max="521" width="11.42578125" customWidth="1"/>
    <col min="522" max="522" width="10" customWidth="1"/>
    <col min="523" max="523" width="11.42578125" customWidth="1"/>
    <col min="524" max="524" width="10.28515625" customWidth="1"/>
    <col min="525" max="525" width="11.42578125" customWidth="1"/>
    <col min="526" max="526" width="11" customWidth="1"/>
    <col min="527" max="527" width="8.85546875" customWidth="1"/>
    <col min="528" max="528" width="10.85546875" customWidth="1"/>
    <col min="529" max="529" width="10.42578125" customWidth="1"/>
    <col min="530" max="530" width="10.7109375" customWidth="1"/>
    <col min="531" max="531" width="11.42578125" customWidth="1"/>
    <col min="532" max="532" width="10.42578125" customWidth="1"/>
    <col min="533" max="533" width="11.42578125" customWidth="1"/>
    <col min="534" max="534" width="10.5703125" customWidth="1"/>
    <col min="535" max="535" width="11.42578125" customWidth="1"/>
    <col min="536" max="536" width="10.7109375" customWidth="1"/>
    <col min="537" max="537" width="11.42578125" customWidth="1"/>
    <col min="538" max="538" width="10.5703125" customWidth="1"/>
    <col min="539" max="539" width="11.42578125" customWidth="1"/>
    <col min="540" max="540" width="10.42578125" customWidth="1"/>
    <col min="541" max="541" width="11.42578125" customWidth="1"/>
    <col min="542" max="542" width="10.7109375" customWidth="1"/>
    <col min="543" max="543" width="10.42578125" customWidth="1"/>
    <col min="544" max="544" width="10.28515625" customWidth="1"/>
    <col min="545" max="545" width="11.42578125" customWidth="1"/>
    <col min="546" max="546" width="10.85546875" customWidth="1"/>
    <col min="547" max="547" width="11.42578125" customWidth="1"/>
    <col min="548" max="548" width="10.42578125" customWidth="1"/>
    <col min="549" max="549" width="11.42578125" customWidth="1"/>
    <col min="550" max="550" width="10.7109375" customWidth="1"/>
    <col min="551" max="551" width="11.42578125" customWidth="1"/>
    <col min="552" max="552" width="10.85546875" customWidth="1"/>
    <col min="553" max="553" width="11.42578125" customWidth="1"/>
    <col min="554" max="554" width="11.140625" customWidth="1"/>
    <col min="555" max="555" width="11.42578125" customWidth="1"/>
    <col min="556" max="556" width="10.85546875" customWidth="1"/>
    <col min="557" max="557" width="11.42578125" customWidth="1"/>
    <col min="558" max="558" width="10.85546875" customWidth="1"/>
    <col min="559" max="559" width="11.42578125" customWidth="1"/>
    <col min="560" max="560" width="10.7109375" customWidth="1"/>
    <col min="561" max="561" width="11.42578125" customWidth="1"/>
    <col min="562" max="562" width="10.28515625" customWidth="1"/>
    <col min="563" max="563" width="10.42578125" customWidth="1"/>
    <col min="564" max="564" width="10.85546875" customWidth="1"/>
    <col min="565" max="565" width="11.42578125" customWidth="1"/>
    <col min="566" max="566" width="10.85546875" customWidth="1"/>
    <col min="567" max="567" width="11.42578125" customWidth="1"/>
    <col min="568" max="568" width="10.5703125" customWidth="1"/>
    <col min="569" max="569" width="10.42578125" customWidth="1"/>
    <col min="570" max="570" width="10.85546875" customWidth="1"/>
    <col min="571" max="571" width="11.42578125" customWidth="1"/>
    <col min="572" max="572" width="10.85546875" customWidth="1"/>
    <col min="573" max="573" width="11.42578125" customWidth="1"/>
    <col min="574" max="574" width="10.140625" customWidth="1"/>
    <col min="575" max="575" width="11.42578125" customWidth="1"/>
    <col min="576" max="576" width="10.42578125" customWidth="1"/>
    <col min="577" max="577" width="11.42578125" customWidth="1"/>
    <col min="578" max="578" width="10.7109375" customWidth="1"/>
    <col min="579" max="579" width="11.42578125" customWidth="1"/>
    <col min="580" max="580" width="11.140625" customWidth="1"/>
    <col min="581" max="581" width="11.42578125" customWidth="1"/>
    <col min="582" max="582" width="10.28515625" customWidth="1"/>
    <col min="583" max="583" width="11.42578125" customWidth="1"/>
    <col min="584" max="584" width="11" customWidth="1"/>
    <col min="585" max="585" width="11.42578125" customWidth="1"/>
    <col min="586" max="586" width="10.42578125" customWidth="1"/>
    <col min="587" max="587" width="11.42578125" customWidth="1"/>
    <col min="588" max="588" width="10.5703125" customWidth="1"/>
    <col min="589" max="589" width="11.42578125" customWidth="1"/>
    <col min="590" max="590" width="10.85546875" customWidth="1"/>
    <col min="591" max="591" width="10.42578125" customWidth="1"/>
    <col min="592" max="592" width="10.85546875" customWidth="1"/>
    <col min="593" max="593" width="11.42578125" customWidth="1"/>
    <col min="594" max="594" width="11" customWidth="1"/>
    <col min="595" max="595" width="10.42578125" customWidth="1"/>
    <col min="596" max="596" width="11" customWidth="1"/>
    <col min="597" max="597" width="11.42578125" customWidth="1"/>
    <col min="598" max="598" width="10.85546875" customWidth="1"/>
    <col min="599" max="599" width="11.42578125" customWidth="1"/>
    <col min="600" max="600" width="10.7109375" customWidth="1"/>
    <col min="601" max="601" width="11.42578125" customWidth="1"/>
    <col min="602" max="602" width="10.85546875" customWidth="1"/>
    <col min="603" max="603" width="10.42578125" customWidth="1"/>
    <col min="604" max="604" width="10.140625" customWidth="1"/>
    <col min="605" max="605" width="11.42578125" customWidth="1"/>
    <col min="606" max="606" width="10.28515625" customWidth="1"/>
    <col min="607" max="607" width="11.42578125" customWidth="1"/>
    <col min="608" max="608" width="21.7109375" customWidth="1"/>
    <col min="609" max="609" width="24" customWidth="1"/>
    <col min="610" max="610" width="26.7109375" customWidth="1"/>
    <col min="611" max="611" width="12.5703125" bestFit="1" customWidth="1"/>
    <col min="612" max="612" width="15.7109375" bestFit="1" customWidth="1"/>
    <col min="613" max="613" width="10.42578125" bestFit="1" customWidth="1"/>
    <col min="614" max="614" width="12.5703125" bestFit="1" customWidth="1"/>
    <col min="615" max="615" width="15.7109375" bestFit="1" customWidth="1"/>
    <col min="616" max="616" width="10.42578125" bestFit="1" customWidth="1"/>
    <col min="617" max="617" width="12.85546875" bestFit="1" customWidth="1"/>
    <col min="618" max="618" width="16" bestFit="1" customWidth="1"/>
    <col min="619" max="619" width="10.42578125" bestFit="1" customWidth="1"/>
    <col min="620" max="620" width="13" bestFit="1" customWidth="1"/>
    <col min="621" max="621" width="16.140625" bestFit="1" customWidth="1"/>
    <col min="622" max="622" width="10.42578125" bestFit="1" customWidth="1"/>
    <col min="623" max="623" width="12.28515625" bestFit="1" customWidth="1"/>
    <col min="624" max="624" width="15.42578125" bestFit="1" customWidth="1"/>
    <col min="625" max="625" width="10.42578125" bestFit="1" customWidth="1"/>
    <col min="626" max="626" width="12.85546875" bestFit="1" customWidth="1"/>
    <col min="627" max="627" width="16" bestFit="1" customWidth="1"/>
    <col min="628" max="628" width="10.42578125" bestFit="1" customWidth="1"/>
    <col min="629" max="629" width="15.5703125" bestFit="1" customWidth="1"/>
    <col min="630" max="630" width="16.28515625" bestFit="1" customWidth="1"/>
    <col min="631" max="631" width="9.42578125" bestFit="1" customWidth="1"/>
    <col min="632" max="632" width="11.85546875" bestFit="1" customWidth="1"/>
    <col min="633" max="633" width="15" bestFit="1" customWidth="1"/>
    <col min="634" max="634" width="10.42578125" bestFit="1" customWidth="1"/>
    <col min="635" max="635" width="15.5703125" bestFit="1" customWidth="1"/>
    <col min="636" max="636" width="15.7109375" bestFit="1" customWidth="1"/>
    <col min="637" max="637" width="10.42578125" bestFit="1" customWidth="1"/>
    <col min="638" max="638" width="12.7109375" bestFit="1" customWidth="1"/>
    <col min="639" max="639" width="15.85546875" bestFit="1" customWidth="1"/>
    <col min="640" max="640" width="10.42578125" bestFit="1" customWidth="1"/>
    <col min="641" max="641" width="12.5703125" bestFit="1" customWidth="1"/>
    <col min="642" max="642" width="15.7109375" bestFit="1" customWidth="1"/>
    <col min="643" max="643" width="10.42578125" bestFit="1" customWidth="1"/>
    <col min="644" max="644" width="12.85546875" bestFit="1" customWidth="1"/>
    <col min="645" max="645" width="16" bestFit="1" customWidth="1"/>
    <col min="646" max="646" width="9.42578125" bestFit="1" customWidth="1"/>
    <col min="647" max="647" width="12.85546875" bestFit="1" customWidth="1"/>
    <col min="648" max="648" width="16" bestFit="1" customWidth="1"/>
    <col min="649" max="649" width="10.42578125" bestFit="1" customWidth="1"/>
    <col min="650" max="650" width="13" bestFit="1" customWidth="1"/>
    <col min="651" max="651" width="16.140625" bestFit="1" customWidth="1"/>
    <col min="652" max="652" width="10.42578125" bestFit="1" customWidth="1"/>
    <col min="653" max="653" width="12" bestFit="1" customWidth="1"/>
    <col min="654" max="654" width="15.140625" bestFit="1" customWidth="1"/>
    <col min="655" max="655" width="10.42578125" bestFit="1" customWidth="1"/>
    <col min="656" max="656" width="12.28515625" bestFit="1" customWidth="1"/>
    <col min="657" max="657" width="15.42578125" bestFit="1" customWidth="1"/>
    <col min="658" max="658" width="9.42578125" bestFit="1" customWidth="1"/>
    <col min="659" max="659" width="12.42578125" bestFit="1" customWidth="1"/>
    <col min="660" max="660" width="15.5703125" bestFit="1" customWidth="1"/>
    <col min="661" max="661" width="10.42578125" bestFit="1" customWidth="1"/>
    <col min="662" max="662" width="12.5703125" bestFit="1" customWidth="1"/>
    <col min="663" max="663" width="15.7109375" bestFit="1" customWidth="1"/>
    <col min="664" max="664" width="10.42578125" bestFit="1" customWidth="1"/>
    <col min="665" max="665" width="12.5703125" bestFit="1" customWidth="1"/>
    <col min="666" max="666" width="15.7109375" bestFit="1" customWidth="1"/>
    <col min="667" max="667" width="11.42578125" bestFit="1" customWidth="1"/>
    <col min="668" max="668" width="12.28515625" bestFit="1" customWidth="1"/>
    <col min="669" max="669" width="15.42578125" bestFit="1" customWidth="1"/>
    <col min="670" max="670" width="10.42578125" bestFit="1" customWidth="1"/>
    <col min="671" max="671" width="12.5703125" bestFit="1" customWidth="1"/>
    <col min="672" max="672" width="15.7109375" bestFit="1" customWidth="1"/>
    <col min="673" max="673" width="11.42578125" bestFit="1" customWidth="1"/>
    <col min="674" max="674" width="15.5703125" bestFit="1" customWidth="1"/>
    <col min="675" max="675" width="15.7109375" bestFit="1" customWidth="1"/>
    <col min="676" max="676" width="11.42578125" bestFit="1" customWidth="1"/>
    <col min="677" max="677" width="15.5703125" bestFit="1" customWidth="1"/>
    <col min="678" max="678" width="16" bestFit="1" customWidth="1"/>
    <col min="679" max="679" width="11.42578125" bestFit="1" customWidth="1"/>
    <col min="680" max="680" width="12.140625" bestFit="1" customWidth="1"/>
    <col min="681" max="681" width="15.28515625" bestFit="1" customWidth="1"/>
    <col min="682" max="682" width="11.42578125" bestFit="1" customWidth="1"/>
    <col min="683" max="683" width="12.5703125" bestFit="1" customWidth="1"/>
    <col min="684" max="684" width="15.7109375" bestFit="1" customWidth="1"/>
    <col min="685" max="685" width="11.42578125" bestFit="1" customWidth="1"/>
    <col min="686" max="686" width="12.85546875" bestFit="1" customWidth="1"/>
    <col min="687" max="687" width="16" bestFit="1" customWidth="1"/>
    <col min="688" max="688" width="11.42578125" bestFit="1" customWidth="1"/>
    <col min="689" max="689" width="13" bestFit="1" customWidth="1"/>
    <col min="690" max="690" width="16.140625" bestFit="1" customWidth="1"/>
    <col min="691" max="691" width="11.42578125" bestFit="1" customWidth="1"/>
    <col min="692" max="692" width="12.5703125" bestFit="1" customWidth="1"/>
    <col min="693" max="693" width="15.7109375" bestFit="1" customWidth="1"/>
    <col min="694" max="694" width="11.42578125" bestFit="1" customWidth="1"/>
    <col min="695" max="695" width="13" bestFit="1" customWidth="1"/>
    <col min="696" max="696" width="16.140625" bestFit="1" customWidth="1"/>
    <col min="697" max="697" width="11.42578125" bestFit="1" customWidth="1"/>
    <col min="698" max="698" width="13.140625" bestFit="1" customWidth="1"/>
    <col min="699" max="699" width="16.28515625" bestFit="1" customWidth="1"/>
    <col min="700" max="700" width="11.42578125" bestFit="1" customWidth="1"/>
    <col min="701" max="701" width="12.7109375" bestFit="1" customWidth="1"/>
    <col min="702" max="702" width="15.85546875" bestFit="1" customWidth="1"/>
    <col min="703" max="703" width="11.42578125" bestFit="1" customWidth="1"/>
    <col min="704" max="704" width="12.42578125" bestFit="1" customWidth="1"/>
    <col min="705" max="705" width="15.5703125" bestFit="1" customWidth="1"/>
    <col min="706" max="706" width="11.42578125" bestFit="1" customWidth="1"/>
    <col min="707" max="707" width="12.7109375" bestFit="1" customWidth="1"/>
    <col min="708" max="708" width="15.85546875" bestFit="1" customWidth="1"/>
    <col min="709" max="709" width="11.42578125" bestFit="1" customWidth="1"/>
    <col min="710" max="710" width="12.7109375" bestFit="1" customWidth="1"/>
    <col min="711" max="711" width="15.85546875" bestFit="1" customWidth="1"/>
    <col min="712" max="712" width="11.42578125" bestFit="1" customWidth="1"/>
    <col min="713" max="713" width="12.5703125" bestFit="1" customWidth="1"/>
    <col min="714" max="714" width="15.7109375" bestFit="1" customWidth="1"/>
    <col min="715" max="715" width="11.42578125" bestFit="1" customWidth="1"/>
    <col min="716" max="716" width="12.85546875" bestFit="1" customWidth="1"/>
    <col min="717" max="717" width="16" bestFit="1" customWidth="1"/>
    <col min="718" max="718" width="10.42578125" bestFit="1" customWidth="1"/>
    <col min="719" max="719" width="12.140625" bestFit="1" customWidth="1"/>
    <col min="720" max="720" width="15.28515625" bestFit="1" customWidth="1"/>
    <col min="721" max="721" width="11.42578125" bestFit="1" customWidth="1"/>
    <col min="722" max="722" width="12.28515625" bestFit="1" customWidth="1"/>
    <col min="723" max="723" width="15.42578125" bestFit="1" customWidth="1"/>
    <col min="724" max="724" width="10.42578125" bestFit="1" customWidth="1"/>
    <col min="725" max="725" width="12.42578125" bestFit="1" customWidth="1"/>
    <col min="726" max="726" width="15.5703125" bestFit="1" customWidth="1"/>
    <col min="727" max="727" width="11.42578125" bestFit="1" customWidth="1"/>
    <col min="728" max="728" width="12.28515625" bestFit="1" customWidth="1"/>
    <col min="729" max="729" width="15.42578125" bestFit="1" customWidth="1"/>
    <col min="730" max="730" width="11.42578125" bestFit="1" customWidth="1"/>
    <col min="731" max="732" width="15.5703125" bestFit="1" customWidth="1"/>
    <col min="733" max="733" width="11.42578125" bestFit="1" customWidth="1"/>
    <col min="734" max="734" width="12.140625" bestFit="1" customWidth="1"/>
    <col min="735" max="735" width="15.28515625" bestFit="1" customWidth="1"/>
    <col min="736" max="736" width="11.42578125" bestFit="1" customWidth="1"/>
    <col min="737" max="737" width="12.7109375" bestFit="1" customWidth="1"/>
    <col min="738" max="738" width="15.85546875" bestFit="1" customWidth="1"/>
    <col min="739" max="739" width="10.42578125" bestFit="1" customWidth="1"/>
    <col min="740" max="740" width="12.28515625" bestFit="1" customWidth="1"/>
    <col min="741" max="741" width="15.42578125" bestFit="1" customWidth="1"/>
    <col min="742" max="742" width="11.42578125" bestFit="1" customWidth="1"/>
    <col min="743" max="743" width="12.42578125" bestFit="1" customWidth="1"/>
    <col min="744" max="744" width="15.5703125" bestFit="1" customWidth="1"/>
    <col min="745" max="745" width="11.42578125" bestFit="1" customWidth="1"/>
    <col min="746" max="746" width="12.85546875" bestFit="1" customWidth="1"/>
    <col min="747" max="747" width="16" bestFit="1" customWidth="1"/>
    <col min="748" max="748" width="11.42578125" bestFit="1" customWidth="1"/>
    <col min="749" max="749" width="12.85546875" bestFit="1" customWidth="1"/>
    <col min="750" max="750" width="16" bestFit="1" customWidth="1"/>
    <col min="751" max="751" width="11.42578125" bestFit="1" customWidth="1"/>
    <col min="752" max="752" width="12.28515625" bestFit="1" customWidth="1"/>
    <col min="753" max="753" width="15.42578125" bestFit="1" customWidth="1"/>
    <col min="754" max="754" width="11.42578125" bestFit="1" customWidth="1"/>
    <col min="755" max="755" width="12.85546875" bestFit="1" customWidth="1"/>
    <col min="756" max="756" width="16" bestFit="1" customWidth="1"/>
    <col min="757" max="757" width="11.42578125" bestFit="1" customWidth="1"/>
    <col min="758" max="758" width="12.42578125" bestFit="1" customWidth="1"/>
    <col min="759" max="759" width="15.5703125" bestFit="1" customWidth="1"/>
    <col min="760" max="760" width="10.42578125" bestFit="1" customWidth="1"/>
    <col min="761" max="761" width="12.42578125" bestFit="1" customWidth="1"/>
    <col min="762" max="762" width="15.5703125" bestFit="1" customWidth="1"/>
    <col min="763" max="763" width="11.42578125" bestFit="1" customWidth="1"/>
    <col min="764" max="764" width="15.5703125" bestFit="1" customWidth="1"/>
    <col min="765" max="765" width="15.7109375" bestFit="1" customWidth="1"/>
    <col min="766" max="766" width="11.42578125" bestFit="1" customWidth="1"/>
    <col min="767" max="767" width="12.85546875" bestFit="1" customWidth="1"/>
    <col min="768" max="768" width="16" bestFit="1" customWidth="1"/>
    <col min="769" max="769" width="11.42578125" bestFit="1" customWidth="1"/>
    <col min="770" max="770" width="15.5703125" bestFit="1" customWidth="1"/>
    <col min="771" max="771" width="15.7109375" bestFit="1" customWidth="1"/>
    <col min="772" max="772" width="11.42578125" bestFit="1" customWidth="1"/>
    <col min="773" max="773" width="11.7109375" bestFit="1" customWidth="1"/>
    <col min="774" max="774" width="14.85546875" bestFit="1" customWidth="1"/>
    <col min="775" max="775" width="10.42578125" bestFit="1" customWidth="1"/>
    <col min="776" max="776" width="12.28515625" bestFit="1" customWidth="1"/>
    <col min="777" max="777" width="15.42578125" bestFit="1" customWidth="1"/>
    <col min="778" max="778" width="11.42578125" bestFit="1" customWidth="1"/>
    <col min="779" max="779" width="12.42578125" bestFit="1" customWidth="1"/>
    <col min="780" max="780" width="15.5703125" bestFit="1" customWidth="1"/>
    <col min="781" max="781" width="11.42578125" bestFit="1" customWidth="1"/>
    <col min="782" max="782" width="11.85546875" bestFit="1" customWidth="1"/>
    <col min="783" max="783" width="15" bestFit="1" customWidth="1"/>
    <col min="784" max="784" width="11.42578125" bestFit="1" customWidth="1"/>
    <col min="785" max="785" width="12.140625" bestFit="1" customWidth="1"/>
    <col min="786" max="786" width="15.28515625" bestFit="1" customWidth="1"/>
    <col min="787" max="787" width="11.42578125" bestFit="1" customWidth="1"/>
    <col min="788" max="788" width="12.85546875" bestFit="1" customWidth="1"/>
    <col min="789" max="789" width="16" bestFit="1" customWidth="1"/>
    <col min="790" max="790" width="8.85546875" customWidth="1"/>
    <col min="791" max="791" width="12.7109375" bestFit="1" customWidth="1"/>
    <col min="792" max="792" width="15.85546875" bestFit="1" customWidth="1"/>
    <col min="793" max="793" width="10.42578125" bestFit="1" customWidth="1"/>
    <col min="794" max="794" width="12.5703125" bestFit="1" customWidth="1"/>
    <col min="795" max="795" width="15.7109375" bestFit="1" customWidth="1"/>
    <col min="796" max="796" width="11.42578125" bestFit="1" customWidth="1"/>
    <col min="797" max="797" width="12.28515625" bestFit="1" customWidth="1"/>
    <col min="798" max="798" width="15.42578125" bestFit="1" customWidth="1"/>
    <col min="799" max="799" width="11.42578125" bestFit="1" customWidth="1"/>
    <col min="800" max="801" width="15.5703125" bestFit="1" customWidth="1"/>
    <col min="802" max="802" width="11.42578125" bestFit="1" customWidth="1"/>
    <col min="803" max="803" width="12.5703125" bestFit="1" customWidth="1"/>
    <col min="804" max="804" width="15.7109375" bestFit="1" customWidth="1"/>
    <col min="805" max="805" width="11.42578125" bestFit="1" customWidth="1"/>
    <col min="806" max="806" width="12.42578125" bestFit="1" customWidth="1"/>
    <col min="807" max="807" width="15.5703125" bestFit="1" customWidth="1"/>
    <col min="808" max="808" width="11.42578125" bestFit="1" customWidth="1"/>
    <col min="809" max="809" width="12.28515625" bestFit="1" customWidth="1"/>
    <col min="810" max="810" width="15.42578125" bestFit="1" customWidth="1"/>
    <col min="811" max="811" width="11.42578125" bestFit="1" customWidth="1"/>
    <col min="812" max="812" width="12.5703125" bestFit="1" customWidth="1"/>
    <col min="813" max="813" width="15.7109375" bestFit="1" customWidth="1"/>
    <col min="814" max="814" width="10.42578125" bestFit="1" customWidth="1"/>
    <col min="815" max="815" width="12.140625" bestFit="1" customWidth="1"/>
    <col min="816" max="816" width="15.28515625" bestFit="1" customWidth="1"/>
    <col min="817" max="817" width="11.42578125" bestFit="1" customWidth="1"/>
    <col min="818" max="818" width="12.7109375" bestFit="1" customWidth="1"/>
    <col min="819" max="819" width="15.85546875" bestFit="1" customWidth="1"/>
    <col min="820" max="820" width="11.42578125" bestFit="1" customWidth="1"/>
    <col min="821" max="821" width="12.28515625" bestFit="1" customWidth="1"/>
    <col min="822" max="822" width="15.42578125" bestFit="1" customWidth="1"/>
    <col min="823" max="823" width="11.42578125" bestFit="1" customWidth="1"/>
    <col min="824" max="824" width="15.5703125" bestFit="1" customWidth="1"/>
    <col min="825" max="825" width="15.7109375" bestFit="1" customWidth="1"/>
    <col min="826" max="826" width="11.42578125" bestFit="1" customWidth="1"/>
    <col min="827" max="827" width="12.7109375" bestFit="1" customWidth="1"/>
    <col min="828" max="828" width="15.85546875" bestFit="1" customWidth="1"/>
    <col min="829" max="829" width="11.42578125" bestFit="1" customWidth="1"/>
    <col min="830" max="830" width="13" bestFit="1" customWidth="1"/>
    <col min="831" max="831" width="16.140625" bestFit="1" customWidth="1"/>
    <col min="832" max="832" width="11.42578125" bestFit="1" customWidth="1"/>
    <col min="833" max="833" width="12.7109375" bestFit="1" customWidth="1"/>
    <col min="834" max="834" width="15.85546875" bestFit="1" customWidth="1"/>
    <col min="835" max="835" width="11.42578125" bestFit="1" customWidth="1"/>
    <col min="836" max="836" width="12.7109375" bestFit="1" customWidth="1"/>
    <col min="837" max="837" width="15.85546875" bestFit="1" customWidth="1"/>
    <col min="838" max="838" width="11.42578125" bestFit="1" customWidth="1"/>
    <col min="839" max="839" width="12.5703125" bestFit="1" customWidth="1"/>
    <col min="840" max="840" width="15.7109375" bestFit="1" customWidth="1"/>
    <col min="841" max="841" width="11.42578125" bestFit="1" customWidth="1"/>
    <col min="842" max="842" width="12.140625" bestFit="1" customWidth="1"/>
    <col min="843" max="843" width="15.28515625" bestFit="1" customWidth="1"/>
    <col min="844" max="844" width="10.42578125" bestFit="1" customWidth="1"/>
    <col min="845" max="845" width="12.7109375" bestFit="1" customWidth="1"/>
    <col min="846" max="846" width="15.85546875" bestFit="1" customWidth="1"/>
    <col min="847" max="847" width="11.42578125" bestFit="1" customWidth="1"/>
    <col min="848" max="848" width="12.7109375" bestFit="1" customWidth="1"/>
    <col min="849" max="849" width="15.85546875" bestFit="1" customWidth="1"/>
    <col min="850" max="850" width="11.42578125" bestFit="1" customWidth="1"/>
    <col min="851" max="851" width="12.42578125" bestFit="1" customWidth="1"/>
    <col min="852" max="852" width="15.5703125" bestFit="1" customWidth="1"/>
    <col min="853" max="853" width="10.42578125" bestFit="1" customWidth="1"/>
    <col min="854" max="854" width="15.5703125" bestFit="1" customWidth="1"/>
    <col min="855" max="855" width="15.85546875" bestFit="1" customWidth="1"/>
    <col min="856" max="856" width="11.42578125" bestFit="1" customWidth="1"/>
    <col min="857" max="857" width="12.7109375" bestFit="1" customWidth="1"/>
    <col min="858" max="858" width="15.85546875" bestFit="1" customWidth="1"/>
    <col min="859" max="859" width="11.42578125" bestFit="1" customWidth="1"/>
    <col min="860" max="860" width="12" bestFit="1" customWidth="1"/>
    <col min="861" max="861" width="15.140625" bestFit="1" customWidth="1"/>
    <col min="862" max="862" width="11.42578125" bestFit="1" customWidth="1"/>
    <col min="863" max="863" width="15.5703125" bestFit="1" customWidth="1"/>
    <col min="864" max="864" width="15.42578125" bestFit="1" customWidth="1"/>
    <col min="865" max="865" width="11.42578125" bestFit="1" customWidth="1"/>
    <col min="866" max="866" width="12.5703125" bestFit="1" customWidth="1"/>
    <col min="867" max="867" width="15.7109375" bestFit="1" customWidth="1"/>
    <col min="868" max="868" width="11.42578125" bestFit="1" customWidth="1"/>
    <col min="869" max="869" width="13" bestFit="1" customWidth="1"/>
    <col min="870" max="870" width="16.140625" bestFit="1" customWidth="1"/>
    <col min="871" max="871" width="11.42578125" bestFit="1" customWidth="1"/>
    <col min="872" max="872" width="12.140625" bestFit="1" customWidth="1"/>
    <col min="873" max="873" width="15.28515625" bestFit="1" customWidth="1"/>
    <col min="874" max="874" width="11.42578125" bestFit="1" customWidth="1"/>
    <col min="875" max="875" width="12.85546875" bestFit="1" customWidth="1"/>
    <col min="876" max="876" width="16" bestFit="1" customWidth="1"/>
    <col min="877" max="877" width="11.42578125" bestFit="1" customWidth="1"/>
    <col min="878" max="878" width="12.28515625" bestFit="1" customWidth="1"/>
    <col min="879" max="879" width="15.42578125" bestFit="1" customWidth="1"/>
    <col min="880" max="880" width="11.42578125" bestFit="1" customWidth="1"/>
    <col min="881" max="881" width="12.42578125" bestFit="1" customWidth="1"/>
    <col min="882" max="882" width="15.5703125" bestFit="1" customWidth="1"/>
    <col min="883" max="883" width="11.42578125" bestFit="1" customWidth="1"/>
    <col min="884" max="884" width="12.7109375" bestFit="1" customWidth="1"/>
    <col min="885" max="885" width="15.85546875" bestFit="1" customWidth="1"/>
    <col min="886" max="886" width="10.42578125" bestFit="1" customWidth="1"/>
    <col min="887" max="887" width="12.7109375" bestFit="1" customWidth="1"/>
    <col min="888" max="888" width="15.85546875" bestFit="1" customWidth="1"/>
    <col min="889" max="889" width="11.42578125" bestFit="1" customWidth="1"/>
    <col min="890" max="890" width="15.5703125" bestFit="1" customWidth="1"/>
    <col min="891" max="891" width="16" bestFit="1" customWidth="1"/>
    <col min="892" max="892" width="10.42578125" bestFit="1" customWidth="1"/>
    <col min="893" max="893" width="15.5703125" bestFit="1" customWidth="1"/>
    <col min="894" max="894" width="16" bestFit="1" customWidth="1"/>
    <col min="895" max="895" width="11.42578125" bestFit="1" customWidth="1"/>
    <col min="896" max="896" width="12.7109375" bestFit="1" customWidth="1"/>
    <col min="897" max="897" width="15.85546875" bestFit="1" customWidth="1"/>
    <col min="898" max="898" width="11.42578125" bestFit="1" customWidth="1"/>
    <col min="899" max="899" width="12.5703125" bestFit="1" customWidth="1"/>
    <col min="900" max="900" width="15.7109375" bestFit="1" customWidth="1"/>
    <col min="901" max="901" width="11.42578125" bestFit="1" customWidth="1"/>
    <col min="902" max="902" width="12.7109375" bestFit="1" customWidth="1"/>
    <col min="903" max="903" width="15.85546875" bestFit="1" customWidth="1"/>
    <col min="904" max="904" width="10.42578125" bestFit="1" customWidth="1"/>
    <col min="905" max="905" width="12" bestFit="1" customWidth="1"/>
    <col min="906" max="906" width="15.140625" bestFit="1" customWidth="1"/>
    <col min="907" max="907" width="11.42578125" bestFit="1" customWidth="1"/>
    <col min="908" max="908" width="12.140625" bestFit="1" customWidth="1"/>
    <col min="909" max="909" width="15.28515625" bestFit="1" customWidth="1"/>
    <col min="910" max="910" width="11.42578125" bestFit="1" customWidth="1"/>
    <col min="911" max="911" width="21.7109375" bestFit="1" customWidth="1"/>
    <col min="912" max="912" width="24" bestFit="1" customWidth="1"/>
    <col min="913" max="913" width="26.7109375" bestFit="1" customWidth="1"/>
  </cols>
  <sheetData>
    <row r="4" spans="1:9" x14ac:dyDescent="0.25">
      <c r="A4" s="3" t="s">
        <v>121</v>
      </c>
      <c r="B4" s="3" t="s">
        <v>122</v>
      </c>
    </row>
    <row r="5" spans="1:9" x14ac:dyDescent="0.25">
      <c r="A5" s="3" t="s">
        <v>119</v>
      </c>
      <c r="B5" s="2" t="s">
        <v>10</v>
      </c>
      <c r="C5" s="2" t="s">
        <v>31</v>
      </c>
      <c r="D5" s="2" t="s">
        <v>7</v>
      </c>
      <c r="E5" s="2" t="s">
        <v>22</v>
      </c>
      <c r="F5" s="2" t="s">
        <v>13</v>
      </c>
      <c r="G5" s="2" t="s">
        <v>52</v>
      </c>
      <c r="H5" s="2" t="s">
        <v>15</v>
      </c>
      <c r="I5" s="2" t="s">
        <v>120</v>
      </c>
    </row>
    <row r="6" spans="1:9" x14ac:dyDescent="0.25">
      <c r="A6" s="4" t="s">
        <v>11</v>
      </c>
      <c r="B6" s="6">
        <v>630.47</v>
      </c>
      <c r="C6" s="6"/>
      <c r="D6" s="6">
        <v>359.56</v>
      </c>
      <c r="E6" s="6">
        <v>258.69</v>
      </c>
      <c r="F6" s="6">
        <v>416.66</v>
      </c>
      <c r="G6" s="6">
        <v>1433.29</v>
      </c>
      <c r="H6" s="6">
        <v>2011.4</v>
      </c>
      <c r="I6" s="6">
        <v>5110.07</v>
      </c>
    </row>
    <row r="7" spans="1:9" x14ac:dyDescent="0.25">
      <c r="A7" s="5" t="s">
        <v>65</v>
      </c>
      <c r="B7" s="6"/>
      <c r="C7" s="6"/>
      <c r="D7" s="6"/>
      <c r="E7" s="6"/>
      <c r="F7" s="6">
        <v>110.73</v>
      </c>
      <c r="G7" s="6"/>
      <c r="H7" s="6"/>
      <c r="I7" s="6">
        <v>110.73</v>
      </c>
    </row>
    <row r="8" spans="1:9" x14ac:dyDescent="0.25">
      <c r="A8" s="5" t="s">
        <v>69</v>
      </c>
      <c r="B8" s="6"/>
      <c r="C8" s="6"/>
      <c r="D8" s="6">
        <v>74.67</v>
      </c>
      <c r="E8" s="6"/>
      <c r="F8" s="6"/>
      <c r="G8" s="6"/>
      <c r="H8" s="6"/>
      <c r="I8" s="6">
        <v>74.67</v>
      </c>
    </row>
    <row r="9" spans="1:9" x14ac:dyDescent="0.25">
      <c r="A9" s="5" t="s">
        <v>93</v>
      </c>
      <c r="B9" s="6"/>
      <c r="C9" s="6"/>
      <c r="D9" s="6">
        <v>200.63</v>
      </c>
      <c r="E9" s="6"/>
      <c r="F9" s="6"/>
      <c r="G9" s="6"/>
      <c r="H9" s="6"/>
      <c r="I9" s="6">
        <v>200.63</v>
      </c>
    </row>
    <row r="10" spans="1:9" x14ac:dyDescent="0.25">
      <c r="A10" s="5" t="s">
        <v>35</v>
      </c>
      <c r="B10" s="6"/>
      <c r="C10" s="6"/>
      <c r="D10" s="6"/>
      <c r="E10" s="6"/>
      <c r="F10" s="6"/>
      <c r="G10" s="6"/>
      <c r="H10" s="6">
        <v>388.1</v>
      </c>
      <c r="I10" s="6">
        <v>388.1</v>
      </c>
    </row>
    <row r="11" spans="1:9" x14ac:dyDescent="0.25">
      <c r="A11" s="5" t="s">
        <v>102</v>
      </c>
      <c r="B11" s="6"/>
      <c r="C11" s="6"/>
      <c r="D11" s="6"/>
      <c r="E11" s="6"/>
      <c r="F11" s="6"/>
      <c r="G11" s="6"/>
      <c r="H11" s="6">
        <v>482.74</v>
      </c>
      <c r="I11" s="6">
        <v>482.74</v>
      </c>
    </row>
    <row r="12" spans="1:9" x14ac:dyDescent="0.25">
      <c r="A12" s="5" t="s">
        <v>27</v>
      </c>
      <c r="B12" s="6"/>
      <c r="C12" s="6"/>
      <c r="D12" s="6"/>
      <c r="E12" s="6"/>
      <c r="F12" s="6">
        <v>305.93</v>
      </c>
      <c r="G12" s="6"/>
      <c r="H12" s="6"/>
      <c r="I12" s="6">
        <v>305.93</v>
      </c>
    </row>
    <row r="13" spans="1:9" x14ac:dyDescent="0.25">
      <c r="A13" s="5" t="s">
        <v>107</v>
      </c>
      <c r="B13" s="6"/>
      <c r="C13" s="6"/>
      <c r="D13" s="6"/>
      <c r="E13" s="6"/>
      <c r="F13" s="6"/>
      <c r="G13" s="6">
        <v>133.61000000000001</v>
      </c>
      <c r="H13" s="6"/>
      <c r="I13" s="6">
        <v>133.61000000000001</v>
      </c>
    </row>
    <row r="14" spans="1:9" x14ac:dyDescent="0.25">
      <c r="A14" s="5" t="s">
        <v>72</v>
      </c>
      <c r="B14" s="6"/>
      <c r="C14" s="6"/>
      <c r="D14" s="6"/>
      <c r="E14" s="6"/>
      <c r="F14" s="6"/>
      <c r="G14" s="6">
        <v>419.54</v>
      </c>
      <c r="H14" s="6"/>
      <c r="I14" s="6">
        <v>419.54</v>
      </c>
    </row>
    <row r="15" spans="1:9" x14ac:dyDescent="0.25">
      <c r="A15" s="5" t="s">
        <v>38</v>
      </c>
      <c r="B15" s="6">
        <v>236.7</v>
      </c>
      <c r="C15" s="6"/>
      <c r="D15" s="6"/>
      <c r="E15" s="6"/>
      <c r="F15" s="6"/>
      <c r="G15" s="6"/>
      <c r="H15" s="6"/>
      <c r="I15" s="6">
        <v>236.7</v>
      </c>
    </row>
    <row r="16" spans="1:9" x14ac:dyDescent="0.25">
      <c r="A16" s="5" t="s">
        <v>73</v>
      </c>
      <c r="B16" s="6"/>
      <c r="C16" s="6"/>
      <c r="D16" s="6"/>
      <c r="E16" s="6"/>
      <c r="F16" s="6"/>
      <c r="G16" s="6"/>
      <c r="H16" s="6">
        <v>483.48</v>
      </c>
      <c r="I16" s="6">
        <v>483.48</v>
      </c>
    </row>
    <row r="17" spans="1:9" x14ac:dyDescent="0.25">
      <c r="A17" s="5" t="s">
        <v>58</v>
      </c>
      <c r="B17" s="6"/>
      <c r="C17" s="6"/>
      <c r="D17" s="6"/>
      <c r="E17" s="6"/>
      <c r="F17" s="6"/>
      <c r="G17" s="6">
        <v>440.74</v>
      </c>
      <c r="H17" s="6"/>
      <c r="I17" s="6">
        <v>440.74</v>
      </c>
    </row>
    <row r="18" spans="1:9" x14ac:dyDescent="0.25">
      <c r="A18" s="5" t="s">
        <v>56</v>
      </c>
      <c r="B18" s="6"/>
      <c r="C18" s="6"/>
      <c r="D18" s="6">
        <v>84.26</v>
      </c>
      <c r="E18" s="6"/>
      <c r="F18" s="6"/>
      <c r="G18" s="6"/>
      <c r="H18" s="6"/>
      <c r="I18" s="6">
        <v>84.26</v>
      </c>
    </row>
    <row r="19" spans="1:9" x14ac:dyDescent="0.25">
      <c r="A19" s="5" t="s">
        <v>101</v>
      </c>
      <c r="B19" s="6"/>
      <c r="C19" s="6"/>
      <c r="D19" s="6"/>
      <c r="E19" s="6"/>
      <c r="F19" s="6"/>
      <c r="G19" s="6"/>
      <c r="H19" s="6">
        <v>411.1</v>
      </c>
      <c r="I19" s="6">
        <v>411.1</v>
      </c>
    </row>
    <row r="20" spans="1:9" x14ac:dyDescent="0.25">
      <c r="A20" s="5" t="s">
        <v>113</v>
      </c>
      <c r="B20" s="6"/>
      <c r="C20" s="6"/>
      <c r="D20" s="6"/>
      <c r="E20" s="6">
        <v>224.56</v>
      </c>
      <c r="F20" s="6"/>
      <c r="G20" s="6"/>
      <c r="H20" s="6"/>
      <c r="I20" s="6">
        <v>224.56</v>
      </c>
    </row>
    <row r="21" spans="1:9" x14ac:dyDescent="0.25">
      <c r="A21" s="5" t="s">
        <v>61</v>
      </c>
      <c r="B21" s="6"/>
      <c r="C21" s="6"/>
      <c r="D21" s="6"/>
      <c r="E21" s="6"/>
      <c r="F21" s="6"/>
      <c r="G21" s="6">
        <v>439.4</v>
      </c>
      <c r="H21" s="6"/>
      <c r="I21" s="6">
        <v>439.4</v>
      </c>
    </row>
    <row r="22" spans="1:9" x14ac:dyDescent="0.25">
      <c r="A22" s="5" t="s">
        <v>14</v>
      </c>
      <c r="B22" s="6"/>
      <c r="C22" s="6"/>
      <c r="D22" s="6"/>
      <c r="E22" s="6"/>
      <c r="F22" s="6"/>
      <c r="G22" s="6"/>
      <c r="H22" s="6">
        <v>245.98</v>
      </c>
      <c r="I22" s="6">
        <v>245.98</v>
      </c>
    </row>
    <row r="23" spans="1:9" x14ac:dyDescent="0.25">
      <c r="A23" s="5" t="s">
        <v>50</v>
      </c>
      <c r="B23" s="6"/>
      <c r="C23" s="6"/>
      <c r="D23" s="6"/>
      <c r="E23" s="6">
        <v>34.130000000000003</v>
      </c>
      <c r="F23" s="6"/>
      <c r="G23" s="6"/>
      <c r="H23" s="6"/>
      <c r="I23" s="6">
        <v>34.130000000000003</v>
      </c>
    </row>
    <row r="24" spans="1:9" x14ac:dyDescent="0.25">
      <c r="A24" s="5" t="s">
        <v>9</v>
      </c>
      <c r="B24" s="6">
        <v>393.77</v>
      </c>
      <c r="C24" s="6"/>
      <c r="D24" s="6"/>
      <c r="E24" s="6"/>
      <c r="F24" s="6"/>
      <c r="G24" s="6"/>
      <c r="H24" s="6"/>
      <c r="I24" s="6">
        <v>393.77</v>
      </c>
    </row>
    <row r="25" spans="1:9" x14ac:dyDescent="0.25">
      <c r="A25" s="4" t="s">
        <v>24</v>
      </c>
      <c r="B25" s="6">
        <v>470.33</v>
      </c>
      <c r="C25" s="6">
        <v>636.67000000000007</v>
      </c>
      <c r="D25" s="6">
        <v>137.21</v>
      </c>
      <c r="E25" s="6">
        <v>879.87999999999988</v>
      </c>
      <c r="F25" s="6">
        <v>593.40000000000009</v>
      </c>
      <c r="G25" s="6">
        <v>640.26</v>
      </c>
      <c r="H25" s="6">
        <v>1360.26</v>
      </c>
      <c r="I25" s="6">
        <v>4718.01</v>
      </c>
    </row>
    <row r="26" spans="1:9" x14ac:dyDescent="0.25">
      <c r="A26" s="5" t="s">
        <v>114</v>
      </c>
      <c r="B26" s="6"/>
      <c r="C26" s="6"/>
      <c r="D26" s="6"/>
      <c r="E26" s="6">
        <v>96.27</v>
      </c>
      <c r="F26" s="6"/>
      <c r="G26" s="6"/>
      <c r="H26" s="6"/>
      <c r="I26" s="6">
        <v>96.27</v>
      </c>
    </row>
    <row r="27" spans="1:9" x14ac:dyDescent="0.25">
      <c r="A27" s="5" t="s">
        <v>60</v>
      </c>
      <c r="B27" s="6"/>
      <c r="C27" s="6"/>
      <c r="D27" s="6"/>
      <c r="E27" s="6"/>
      <c r="F27" s="6"/>
      <c r="G27" s="6">
        <v>317.98</v>
      </c>
      <c r="H27" s="6"/>
      <c r="I27" s="6">
        <v>317.98</v>
      </c>
    </row>
    <row r="28" spans="1:9" x14ac:dyDescent="0.25">
      <c r="A28" s="5" t="s">
        <v>23</v>
      </c>
      <c r="B28" s="6"/>
      <c r="C28" s="6"/>
      <c r="D28" s="6"/>
      <c r="E28" s="6"/>
      <c r="F28" s="6">
        <v>319.29000000000002</v>
      </c>
      <c r="G28" s="6"/>
      <c r="H28" s="6"/>
      <c r="I28" s="6">
        <v>319.29000000000002</v>
      </c>
    </row>
    <row r="29" spans="1:9" x14ac:dyDescent="0.25">
      <c r="A29" s="5" t="s">
        <v>79</v>
      </c>
      <c r="B29" s="6"/>
      <c r="C29" s="6"/>
      <c r="D29" s="6"/>
      <c r="E29" s="6"/>
      <c r="F29" s="6"/>
      <c r="G29" s="6">
        <v>117.95</v>
      </c>
      <c r="H29" s="6"/>
      <c r="I29" s="6">
        <v>117.95</v>
      </c>
    </row>
    <row r="30" spans="1:9" x14ac:dyDescent="0.25">
      <c r="A30" s="5" t="s">
        <v>55</v>
      </c>
      <c r="B30" s="6"/>
      <c r="C30" s="6"/>
      <c r="D30" s="6"/>
      <c r="E30" s="6">
        <v>369.15</v>
      </c>
      <c r="F30" s="6"/>
      <c r="G30" s="6"/>
      <c r="H30" s="6"/>
      <c r="I30" s="6">
        <v>369.15</v>
      </c>
    </row>
    <row r="31" spans="1:9" x14ac:dyDescent="0.25">
      <c r="A31" s="5" t="s">
        <v>103</v>
      </c>
      <c r="B31" s="6"/>
      <c r="C31" s="6"/>
      <c r="D31" s="6"/>
      <c r="E31" s="6"/>
      <c r="F31" s="6"/>
      <c r="G31" s="6"/>
      <c r="H31" s="6">
        <v>400.25</v>
      </c>
      <c r="I31" s="6">
        <v>400.25</v>
      </c>
    </row>
    <row r="32" spans="1:9" x14ac:dyDescent="0.25">
      <c r="A32" s="5" t="s">
        <v>76</v>
      </c>
      <c r="B32" s="6"/>
      <c r="C32" s="6"/>
      <c r="D32" s="6">
        <v>44.29</v>
      </c>
      <c r="E32" s="6"/>
      <c r="F32" s="6"/>
      <c r="G32" s="6"/>
      <c r="H32" s="6"/>
      <c r="I32" s="6">
        <v>44.29</v>
      </c>
    </row>
    <row r="33" spans="1:9" x14ac:dyDescent="0.25">
      <c r="A33" s="5" t="s">
        <v>62</v>
      </c>
      <c r="B33" s="6"/>
      <c r="C33" s="6"/>
      <c r="D33" s="6"/>
      <c r="E33" s="6"/>
      <c r="F33" s="6"/>
      <c r="G33" s="6"/>
      <c r="H33" s="6">
        <v>133.33000000000001</v>
      </c>
      <c r="I33" s="6">
        <v>133.33000000000001</v>
      </c>
    </row>
    <row r="34" spans="1:9" x14ac:dyDescent="0.25">
      <c r="A34" s="5" t="s">
        <v>96</v>
      </c>
      <c r="B34" s="6"/>
      <c r="C34" s="6"/>
      <c r="D34" s="6"/>
      <c r="E34" s="6">
        <v>153.13</v>
      </c>
      <c r="F34" s="6"/>
      <c r="G34" s="6"/>
      <c r="H34" s="6"/>
      <c r="I34" s="6">
        <v>153.13</v>
      </c>
    </row>
    <row r="35" spans="1:9" x14ac:dyDescent="0.25">
      <c r="A35" s="5" t="s">
        <v>43</v>
      </c>
      <c r="B35" s="6"/>
      <c r="C35" s="6">
        <v>268.42</v>
      </c>
      <c r="D35" s="6"/>
      <c r="E35" s="6"/>
      <c r="F35" s="6"/>
      <c r="G35" s="6"/>
      <c r="H35" s="6"/>
      <c r="I35" s="6">
        <v>268.42</v>
      </c>
    </row>
    <row r="36" spans="1:9" x14ac:dyDescent="0.25">
      <c r="A36" s="5" t="s">
        <v>53</v>
      </c>
      <c r="B36" s="6"/>
      <c r="C36" s="6">
        <v>368.25</v>
      </c>
      <c r="D36" s="6"/>
      <c r="E36" s="6"/>
      <c r="F36" s="6"/>
      <c r="G36" s="6"/>
      <c r="H36" s="6"/>
      <c r="I36" s="6">
        <v>368.25</v>
      </c>
    </row>
    <row r="37" spans="1:9" x14ac:dyDescent="0.25">
      <c r="A37" s="5" t="s">
        <v>78</v>
      </c>
      <c r="B37" s="6"/>
      <c r="C37" s="6"/>
      <c r="D37" s="6"/>
      <c r="E37" s="6"/>
      <c r="F37" s="6"/>
      <c r="G37" s="6"/>
      <c r="H37" s="6">
        <v>498.37</v>
      </c>
      <c r="I37" s="6">
        <v>498.37</v>
      </c>
    </row>
    <row r="38" spans="1:9" x14ac:dyDescent="0.25">
      <c r="A38" s="5" t="s">
        <v>98</v>
      </c>
      <c r="B38" s="6"/>
      <c r="C38" s="6"/>
      <c r="D38" s="6"/>
      <c r="E38" s="6"/>
      <c r="F38" s="6"/>
      <c r="G38" s="6">
        <v>204.33</v>
      </c>
      <c r="H38" s="6"/>
      <c r="I38" s="6">
        <v>204.33</v>
      </c>
    </row>
    <row r="39" spans="1:9" x14ac:dyDescent="0.25">
      <c r="A39" s="5" t="s">
        <v>34</v>
      </c>
      <c r="B39" s="6"/>
      <c r="C39" s="6"/>
      <c r="D39" s="6">
        <v>92.92</v>
      </c>
      <c r="E39" s="6"/>
      <c r="F39" s="6"/>
      <c r="G39" s="6"/>
      <c r="H39" s="6"/>
      <c r="I39" s="6">
        <v>92.92</v>
      </c>
    </row>
    <row r="40" spans="1:9" x14ac:dyDescent="0.25">
      <c r="A40" s="5" t="s">
        <v>82</v>
      </c>
      <c r="B40" s="6"/>
      <c r="C40" s="6"/>
      <c r="D40" s="6"/>
      <c r="E40" s="6"/>
      <c r="F40" s="6"/>
      <c r="G40" s="6"/>
      <c r="H40" s="6">
        <v>328.31</v>
      </c>
      <c r="I40" s="6">
        <v>328.31</v>
      </c>
    </row>
    <row r="41" spans="1:9" x14ac:dyDescent="0.25">
      <c r="A41" s="5" t="s">
        <v>28</v>
      </c>
      <c r="B41" s="6"/>
      <c r="C41" s="6"/>
      <c r="D41" s="6"/>
      <c r="E41" s="6"/>
      <c r="F41" s="6">
        <v>274.11</v>
      </c>
      <c r="G41" s="6"/>
      <c r="H41" s="6"/>
      <c r="I41" s="6">
        <v>274.11</v>
      </c>
    </row>
    <row r="42" spans="1:9" x14ac:dyDescent="0.25">
      <c r="A42" s="5" t="s">
        <v>108</v>
      </c>
      <c r="B42" s="6"/>
      <c r="C42" s="6"/>
      <c r="D42" s="6"/>
      <c r="E42" s="6">
        <v>261.33</v>
      </c>
      <c r="F42" s="6"/>
      <c r="G42" s="6"/>
      <c r="H42" s="6"/>
      <c r="I42" s="6">
        <v>261.33</v>
      </c>
    </row>
    <row r="43" spans="1:9" x14ac:dyDescent="0.25">
      <c r="A43" s="5" t="s">
        <v>40</v>
      </c>
      <c r="B43" s="6">
        <v>470.33</v>
      </c>
      <c r="C43" s="6"/>
      <c r="D43" s="6"/>
      <c r="E43" s="6"/>
      <c r="F43" s="6"/>
      <c r="G43" s="6"/>
      <c r="H43" s="6"/>
      <c r="I43" s="6">
        <v>470.33</v>
      </c>
    </row>
    <row r="44" spans="1:9" x14ac:dyDescent="0.25">
      <c r="A44" s="4" t="s">
        <v>18</v>
      </c>
      <c r="B44" s="6"/>
      <c r="C44" s="6">
        <v>1158.2199999999998</v>
      </c>
      <c r="D44" s="6">
        <v>185.61</v>
      </c>
      <c r="E44" s="6">
        <v>601.04999999999995</v>
      </c>
      <c r="F44" s="6">
        <v>664.31999999999994</v>
      </c>
      <c r="G44" s="6">
        <v>274.64999999999998</v>
      </c>
      <c r="H44" s="6">
        <v>486.90000000000003</v>
      </c>
      <c r="I44" s="6">
        <v>3370.7500000000005</v>
      </c>
    </row>
    <row r="45" spans="1:9" x14ac:dyDescent="0.25">
      <c r="A45" s="5" t="s">
        <v>33</v>
      </c>
      <c r="B45" s="6"/>
      <c r="C45" s="6"/>
      <c r="D45" s="6">
        <v>90.2</v>
      </c>
      <c r="E45" s="6"/>
      <c r="F45" s="6"/>
      <c r="G45" s="6"/>
      <c r="H45" s="6"/>
      <c r="I45" s="6">
        <v>90.2</v>
      </c>
    </row>
    <row r="46" spans="1:9" x14ac:dyDescent="0.25">
      <c r="A46" s="5" t="s">
        <v>17</v>
      </c>
      <c r="B46" s="6"/>
      <c r="C46" s="6"/>
      <c r="D46" s="6">
        <v>95.41</v>
      </c>
      <c r="E46" s="6"/>
      <c r="F46" s="6"/>
      <c r="G46" s="6"/>
      <c r="H46" s="6"/>
      <c r="I46" s="6">
        <v>95.41</v>
      </c>
    </row>
    <row r="47" spans="1:9" x14ac:dyDescent="0.25">
      <c r="A47" s="5" t="s">
        <v>85</v>
      </c>
      <c r="B47" s="6"/>
      <c r="C47" s="6"/>
      <c r="D47" s="6"/>
      <c r="E47" s="6">
        <v>412.98</v>
      </c>
      <c r="F47" s="6"/>
      <c r="G47" s="6"/>
      <c r="H47" s="6"/>
      <c r="I47" s="6">
        <v>412.98</v>
      </c>
    </row>
    <row r="48" spans="1:9" x14ac:dyDescent="0.25">
      <c r="A48" s="5" t="s">
        <v>39</v>
      </c>
      <c r="B48" s="6"/>
      <c r="C48" s="6"/>
      <c r="D48" s="6"/>
      <c r="E48" s="6"/>
      <c r="F48" s="6">
        <v>460.89</v>
      </c>
      <c r="G48" s="6"/>
      <c r="H48" s="6"/>
      <c r="I48" s="6">
        <v>460.89</v>
      </c>
    </row>
    <row r="49" spans="1:9" x14ac:dyDescent="0.25">
      <c r="A49" s="5" t="s">
        <v>91</v>
      </c>
      <c r="B49" s="6"/>
      <c r="C49" s="6"/>
      <c r="D49" s="6"/>
      <c r="E49" s="6"/>
      <c r="F49" s="6"/>
      <c r="G49" s="6"/>
      <c r="H49" s="6">
        <v>152.43</v>
      </c>
      <c r="I49" s="6">
        <v>152.43</v>
      </c>
    </row>
    <row r="50" spans="1:9" x14ac:dyDescent="0.25">
      <c r="A50" s="5" t="s">
        <v>92</v>
      </c>
      <c r="B50" s="6"/>
      <c r="C50" s="6">
        <v>268.14</v>
      </c>
      <c r="D50" s="6"/>
      <c r="E50" s="6"/>
      <c r="F50" s="6"/>
      <c r="G50" s="6"/>
      <c r="H50" s="6"/>
      <c r="I50" s="6">
        <v>268.14</v>
      </c>
    </row>
    <row r="51" spans="1:9" x14ac:dyDescent="0.25">
      <c r="A51" s="5" t="s">
        <v>54</v>
      </c>
      <c r="B51" s="6"/>
      <c r="C51" s="6"/>
      <c r="D51" s="6"/>
      <c r="E51" s="6"/>
      <c r="F51" s="6"/>
      <c r="G51" s="6">
        <v>274.64999999999998</v>
      </c>
      <c r="H51" s="6"/>
      <c r="I51" s="6">
        <v>274.64999999999998</v>
      </c>
    </row>
    <row r="52" spans="1:9" x14ac:dyDescent="0.25">
      <c r="A52" s="5" t="s">
        <v>42</v>
      </c>
      <c r="B52" s="6"/>
      <c r="C52" s="6"/>
      <c r="D52" s="6"/>
      <c r="E52" s="6"/>
      <c r="F52" s="6">
        <v>203.43</v>
      </c>
      <c r="G52" s="6"/>
      <c r="H52" s="6"/>
      <c r="I52" s="6">
        <v>203.43</v>
      </c>
    </row>
    <row r="53" spans="1:9" x14ac:dyDescent="0.25">
      <c r="A53" s="5" t="s">
        <v>45</v>
      </c>
      <c r="B53" s="6"/>
      <c r="C53" s="6">
        <v>422.02</v>
      </c>
      <c r="D53" s="6"/>
      <c r="E53" s="6"/>
      <c r="F53" s="6"/>
      <c r="G53" s="6"/>
      <c r="H53" s="6"/>
      <c r="I53" s="6">
        <v>422.02</v>
      </c>
    </row>
    <row r="54" spans="1:9" x14ac:dyDescent="0.25">
      <c r="A54" s="5" t="s">
        <v>21</v>
      </c>
      <c r="B54" s="6"/>
      <c r="C54" s="6"/>
      <c r="D54" s="6"/>
      <c r="E54" s="6">
        <v>188.07</v>
      </c>
      <c r="F54" s="6"/>
      <c r="G54" s="6"/>
      <c r="H54" s="6"/>
      <c r="I54" s="6">
        <v>188.07</v>
      </c>
    </row>
    <row r="55" spans="1:9" x14ac:dyDescent="0.25">
      <c r="A55" s="5" t="s">
        <v>26</v>
      </c>
      <c r="B55" s="6"/>
      <c r="C55" s="6"/>
      <c r="D55" s="6"/>
      <c r="E55" s="6"/>
      <c r="F55" s="6"/>
      <c r="G55" s="6"/>
      <c r="H55" s="6">
        <v>334.47</v>
      </c>
      <c r="I55" s="6">
        <v>334.47</v>
      </c>
    </row>
    <row r="56" spans="1:9" x14ac:dyDescent="0.25">
      <c r="A56" s="5" t="s">
        <v>90</v>
      </c>
      <c r="B56" s="6"/>
      <c r="C56" s="6">
        <v>181.69</v>
      </c>
      <c r="D56" s="6"/>
      <c r="E56" s="6"/>
      <c r="F56" s="6"/>
      <c r="G56" s="6"/>
      <c r="H56" s="6"/>
      <c r="I56" s="6">
        <v>181.69</v>
      </c>
    </row>
    <row r="57" spans="1:9" x14ac:dyDescent="0.25">
      <c r="A57" s="5" t="s">
        <v>74</v>
      </c>
      <c r="B57" s="6"/>
      <c r="C57" s="6">
        <v>286.37</v>
      </c>
      <c r="D57" s="6"/>
      <c r="E57" s="6"/>
      <c r="F57" s="6"/>
      <c r="G57" s="6"/>
      <c r="H57" s="6"/>
      <c r="I57" s="6">
        <v>286.37</v>
      </c>
    </row>
    <row r="58" spans="1:9" x14ac:dyDescent="0.25">
      <c r="A58" s="4" t="s">
        <v>8</v>
      </c>
      <c r="B58" s="6">
        <v>1161.3699999999999</v>
      </c>
      <c r="C58" s="6">
        <v>1890.6499999999999</v>
      </c>
      <c r="D58" s="6">
        <v>748.29</v>
      </c>
      <c r="E58" s="6">
        <v>1158.47</v>
      </c>
      <c r="F58" s="6">
        <v>1217.1799999999998</v>
      </c>
      <c r="G58" s="6">
        <v>779.09999999999991</v>
      </c>
      <c r="H58" s="6">
        <v>960.91</v>
      </c>
      <c r="I58" s="6">
        <v>7915.9699999999993</v>
      </c>
    </row>
    <row r="59" spans="1:9" x14ac:dyDescent="0.25">
      <c r="A59" s="5" t="s">
        <v>115</v>
      </c>
      <c r="B59" s="6"/>
      <c r="C59" s="6"/>
      <c r="D59" s="6"/>
      <c r="E59" s="6"/>
      <c r="F59" s="6">
        <v>473.05</v>
      </c>
      <c r="G59" s="6"/>
      <c r="H59" s="6"/>
      <c r="I59" s="6">
        <v>473.05</v>
      </c>
    </row>
    <row r="60" spans="1:9" x14ac:dyDescent="0.25">
      <c r="A60" s="5" t="s">
        <v>111</v>
      </c>
      <c r="B60" s="6"/>
      <c r="C60" s="6">
        <v>236.16</v>
      </c>
      <c r="D60" s="6"/>
      <c r="E60" s="6"/>
      <c r="F60" s="6"/>
      <c r="G60" s="6"/>
      <c r="H60" s="6"/>
      <c r="I60" s="6">
        <v>236.16</v>
      </c>
    </row>
    <row r="61" spans="1:9" x14ac:dyDescent="0.25">
      <c r="A61" s="5" t="s">
        <v>106</v>
      </c>
      <c r="B61" s="6"/>
      <c r="C61" s="6">
        <v>332.89</v>
      </c>
      <c r="D61" s="6"/>
      <c r="E61" s="6"/>
      <c r="F61" s="6"/>
      <c r="G61" s="6"/>
      <c r="H61" s="6"/>
      <c r="I61" s="6">
        <v>332.89</v>
      </c>
    </row>
    <row r="62" spans="1:9" x14ac:dyDescent="0.25">
      <c r="A62" s="5" t="s">
        <v>32</v>
      </c>
      <c r="B62" s="6"/>
      <c r="C62" s="6"/>
      <c r="D62" s="6">
        <v>40.869999999999997</v>
      </c>
      <c r="E62" s="6"/>
      <c r="F62" s="6"/>
      <c r="G62" s="6"/>
      <c r="H62" s="6"/>
      <c r="I62" s="6">
        <v>40.869999999999997</v>
      </c>
    </row>
    <row r="63" spans="1:9" x14ac:dyDescent="0.25">
      <c r="A63" s="5" t="s">
        <v>71</v>
      </c>
      <c r="B63" s="6">
        <v>293.27999999999997</v>
      </c>
      <c r="C63" s="6"/>
      <c r="D63" s="6"/>
      <c r="E63" s="6"/>
      <c r="F63" s="6"/>
      <c r="G63" s="6"/>
      <c r="H63" s="6"/>
      <c r="I63" s="6">
        <v>293.27999999999997</v>
      </c>
    </row>
    <row r="64" spans="1:9" x14ac:dyDescent="0.25">
      <c r="A64" s="5" t="s">
        <v>116</v>
      </c>
      <c r="B64" s="6"/>
      <c r="C64" s="6"/>
      <c r="D64" s="6"/>
      <c r="E64" s="6">
        <v>412.56</v>
      </c>
      <c r="F64" s="6"/>
      <c r="G64" s="6"/>
      <c r="H64" s="6"/>
      <c r="I64" s="6">
        <v>412.56</v>
      </c>
    </row>
    <row r="65" spans="1:9" x14ac:dyDescent="0.25">
      <c r="A65" s="5" t="s">
        <v>70</v>
      </c>
      <c r="B65" s="6"/>
      <c r="C65" s="6">
        <v>439.81</v>
      </c>
      <c r="D65" s="6"/>
      <c r="E65" s="6"/>
      <c r="F65" s="6"/>
      <c r="G65" s="6"/>
      <c r="H65" s="6"/>
      <c r="I65" s="6">
        <v>439.81</v>
      </c>
    </row>
    <row r="66" spans="1:9" x14ac:dyDescent="0.25">
      <c r="A66" s="5" t="s">
        <v>66</v>
      </c>
      <c r="B66" s="6"/>
      <c r="C66" s="6"/>
      <c r="D66" s="6"/>
      <c r="E66" s="6"/>
      <c r="F66" s="6"/>
      <c r="G66" s="6"/>
      <c r="H66" s="6">
        <v>432.1</v>
      </c>
      <c r="I66" s="6">
        <v>432.1</v>
      </c>
    </row>
    <row r="67" spans="1:9" x14ac:dyDescent="0.25">
      <c r="A67" s="5" t="s">
        <v>47</v>
      </c>
      <c r="B67" s="6">
        <v>458.8</v>
      </c>
      <c r="C67" s="6"/>
      <c r="D67" s="6"/>
      <c r="E67" s="6"/>
      <c r="F67" s="6"/>
      <c r="G67" s="6"/>
      <c r="H67" s="6"/>
      <c r="I67" s="6">
        <v>458.8</v>
      </c>
    </row>
    <row r="68" spans="1:9" x14ac:dyDescent="0.25">
      <c r="A68" s="5" t="s">
        <v>64</v>
      </c>
      <c r="B68" s="6">
        <v>209.41</v>
      </c>
      <c r="C68" s="6"/>
      <c r="D68" s="6"/>
      <c r="E68" s="6"/>
      <c r="F68" s="6"/>
      <c r="G68" s="6"/>
      <c r="H68" s="6"/>
      <c r="I68" s="6">
        <v>209.41</v>
      </c>
    </row>
    <row r="69" spans="1:9" x14ac:dyDescent="0.25">
      <c r="A69" s="5" t="s">
        <v>100</v>
      </c>
      <c r="B69" s="6"/>
      <c r="C69" s="6"/>
      <c r="D69" s="6"/>
      <c r="E69" s="6"/>
      <c r="F69" s="6"/>
      <c r="G69" s="6"/>
      <c r="H69" s="6">
        <v>20.309999999999999</v>
      </c>
      <c r="I69" s="6">
        <v>20.309999999999999</v>
      </c>
    </row>
    <row r="70" spans="1:9" x14ac:dyDescent="0.25">
      <c r="A70" s="5" t="s">
        <v>94</v>
      </c>
      <c r="B70" s="6"/>
      <c r="C70" s="6"/>
      <c r="D70" s="6"/>
      <c r="E70" s="6"/>
      <c r="F70" s="6">
        <v>392.26</v>
      </c>
      <c r="G70" s="6"/>
      <c r="H70" s="6"/>
      <c r="I70" s="6">
        <v>392.26</v>
      </c>
    </row>
    <row r="71" spans="1:9" x14ac:dyDescent="0.25">
      <c r="A71" s="5" t="s">
        <v>81</v>
      </c>
      <c r="B71" s="6"/>
      <c r="C71" s="6"/>
      <c r="D71" s="6"/>
      <c r="E71" s="6"/>
      <c r="F71" s="6"/>
      <c r="G71" s="6">
        <v>225.59</v>
      </c>
      <c r="H71" s="6"/>
      <c r="I71" s="6">
        <v>225.59</v>
      </c>
    </row>
    <row r="72" spans="1:9" x14ac:dyDescent="0.25">
      <c r="A72" s="5" t="s">
        <v>84</v>
      </c>
      <c r="B72" s="6"/>
      <c r="C72" s="6"/>
      <c r="D72" s="6">
        <v>474.63</v>
      </c>
      <c r="E72" s="6"/>
      <c r="F72" s="6"/>
      <c r="G72" s="6"/>
      <c r="H72" s="6"/>
      <c r="I72" s="6">
        <v>474.63</v>
      </c>
    </row>
    <row r="73" spans="1:9" x14ac:dyDescent="0.25">
      <c r="A73" s="5" t="s">
        <v>51</v>
      </c>
      <c r="B73" s="6"/>
      <c r="C73" s="6"/>
      <c r="D73" s="6"/>
      <c r="E73" s="6"/>
      <c r="F73" s="6"/>
      <c r="G73" s="6">
        <v>67.36</v>
      </c>
      <c r="H73" s="6"/>
      <c r="I73" s="6">
        <v>67.36</v>
      </c>
    </row>
    <row r="74" spans="1:9" x14ac:dyDescent="0.25">
      <c r="A74" s="5" t="s">
        <v>95</v>
      </c>
      <c r="B74" s="6"/>
      <c r="C74" s="6"/>
      <c r="D74" s="6"/>
      <c r="E74" s="6">
        <v>451.25</v>
      </c>
      <c r="F74" s="6"/>
      <c r="G74" s="6"/>
      <c r="H74" s="6"/>
      <c r="I74" s="6">
        <v>451.25</v>
      </c>
    </row>
    <row r="75" spans="1:9" x14ac:dyDescent="0.25">
      <c r="A75" s="5" t="s">
        <v>75</v>
      </c>
      <c r="B75" s="6"/>
      <c r="C75" s="6"/>
      <c r="D75" s="6"/>
      <c r="E75" s="6"/>
      <c r="F75" s="6"/>
      <c r="G75" s="6">
        <v>486.15</v>
      </c>
      <c r="H75" s="6"/>
      <c r="I75" s="6">
        <v>486.15</v>
      </c>
    </row>
    <row r="76" spans="1:9" x14ac:dyDescent="0.25">
      <c r="A76" s="5" t="s">
        <v>117</v>
      </c>
      <c r="B76" s="6"/>
      <c r="C76" s="6">
        <v>414.86</v>
      </c>
      <c r="D76" s="6"/>
      <c r="E76" s="6"/>
      <c r="F76" s="6"/>
      <c r="G76" s="6"/>
      <c r="H76" s="6"/>
      <c r="I76" s="6">
        <v>414.86</v>
      </c>
    </row>
    <row r="77" spans="1:9" x14ac:dyDescent="0.25">
      <c r="A77" s="5" t="s">
        <v>12</v>
      </c>
      <c r="B77" s="6"/>
      <c r="C77" s="6"/>
      <c r="D77" s="6"/>
      <c r="E77" s="6"/>
      <c r="F77" s="6">
        <v>351.87</v>
      </c>
      <c r="G77" s="6"/>
      <c r="H77" s="6"/>
      <c r="I77" s="6">
        <v>351.87</v>
      </c>
    </row>
    <row r="78" spans="1:9" x14ac:dyDescent="0.25">
      <c r="A78" s="5" t="s">
        <v>25</v>
      </c>
      <c r="B78" s="6"/>
      <c r="C78" s="6"/>
      <c r="D78" s="6"/>
      <c r="E78" s="6"/>
      <c r="F78" s="6"/>
      <c r="G78" s="6"/>
      <c r="H78" s="6">
        <v>403.4</v>
      </c>
      <c r="I78" s="6">
        <v>403.4</v>
      </c>
    </row>
    <row r="79" spans="1:9" x14ac:dyDescent="0.25">
      <c r="A79" s="5" t="s">
        <v>109</v>
      </c>
      <c r="B79" s="6"/>
      <c r="C79" s="6">
        <v>255.26</v>
      </c>
      <c r="D79" s="6"/>
      <c r="E79" s="6"/>
      <c r="F79" s="6"/>
      <c r="G79" s="6"/>
      <c r="H79" s="6"/>
      <c r="I79" s="6">
        <v>255.26</v>
      </c>
    </row>
    <row r="80" spans="1:9" x14ac:dyDescent="0.25">
      <c r="A80" s="5" t="s">
        <v>16</v>
      </c>
      <c r="B80" s="6"/>
      <c r="C80" s="6"/>
      <c r="D80" s="6"/>
      <c r="E80" s="6"/>
      <c r="F80" s="6"/>
      <c r="G80" s="6"/>
      <c r="H80" s="6">
        <v>105.1</v>
      </c>
      <c r="I80" s="6">
        <v>105.1</v>
      </c>
    </row>
    <row r="81" spans="1:9" x14ac:dyDescent="0.25">
      <c r="A81" s="5" t="s">
        <v>59</v>
      </c>
      <c r="B81" s="6">
        <v>199.88</v>
      </c>
      <c r="C81" s="6"/>
      <c r="D81" s="6"/>
      <c r="E81" s="6"/>
      <c r="F81" s="6"/>
      <c r="G81" s="6"/>
      <c r="H81" s="6"/>
      <c r="I81" s="6">
        <v>199.88</v>
      </c>
    </row>
    <row r="82" spans="1:9" x14ac:dyDescent="0.25">
      <c r="A82" s="5" t="s">
        <v>67</v>
      </c>
      <c r="B82" s="6"/>
      <c r="C82" s="6">
        <v>211.67</v>
      </c>
      <c r="D82" s="6"/>
      <c r="E82" s="6"/>
      <c r="F82" s="6"/>
      <c r="G82" s="6"/>
      <c r="H82" s="6"/>
      <c r="I82" s="6">
        <v>211.67</v>
      </c>
    </row>
    <row r="83" spans="1:9" x14ac:dyDescent="0.25">
      <c r="A83" s="5" t="s">
        <v>80</v>
      </c>
      <c r="B83" s="6"/>
      <c r="C83" s="6"/>
      <c r="D83" s="6"/>
      <c r="E83" s="6">
        <v>294.66000000000003</v>
      </c>
      <c r="F83" s="6"/>
      <c r="G83" s="6"/>
      <c r="H83" s="6"/>
      <c r="I83" s="6">
        <v>294.66000000000003</v>
      </c>
    </row>
    <row r="84" spans="1:9" x14ac:dyDescent="0.25">
      <c r="A84" s="5" t="s">
        <v>6</v>
      </c>
      <c r="B84" s="6"/>
      <c r="C84" s="6"/>
      <c r="D84" s="6">
        <v>232.79</v>
      </c>
      <c r="E84" s="6"/>
      <c r="F84" s="6"/>
      <c r="G84" s="6"/>
      <c r="H84" s="6"/>
      <c r="I84" s="6">
        <v>232.79</v>
      </c>
    </row>
    <row r="85" spans="1:9" x14ac:dyDescent="0.25">
      <c r="A85" s="4" t="s">
        <v>20</v>
      </c>
      <c r="B85" s="6">
        <v>736.23</v>
      </c>
      <c r="C85" s="6">
        <v>1457.69</v>
      </c>
      <c r="D85" s="6">
        <v>1474.51</v>
      </c>
      <c r="E85" s="6">
        <v>1523.29</v>
      </c>
      <c r="F85" s="6">
        <v>865.95</v>
      </c>
      <c r="G85" s="6"/>
      <c r="H85" s="6">
        <v>1158.6099999999999</v>
      </c>
      <c r="I85" s="6">
        <v>7216.28</v>
      </c>
    </row>
    <row r="86" spans="1:9" x14ac:dyDescent="0.25">
      <c r="A86" s="5" t="s">
        <v>110</v>
      </c>
      <c r="B86" s="6"/>
      <c r="C86" s="6"/>
      <c r="D86" s="6"/>
      <c r="E86" s="6">
        <v>203.54</v>
      </c>
      <c r="F86" s="6"/>
      <c r="G86" s="6"/>
      <c r="H86" s="6"/>
      <c r="I86" s="6">
        <v>203.54</v>
      </c>
    </row>
    <row r="87" spans="1:9" x14ac:dyDescent="0.25">
      <c r="A87" s="5" t="s">
        <v>48</v>
      </c>
      <c r="B87" s="6"/>
      <c r="C87" s="6"/>
      <c r="D87" s="6"/>
      <c r="E87" s="6"/>
      <c r="F87" s="6">
        <v>430.43</v>
      </c>
      <c r="G87" s="6"/>
      <c r="H87" s="6"/>
      <c r="I87" s="6">
        <v>430.43</v>
      </c>
    </row>
    <row r="88" spans="1:9" x14ac:dyDescent="0.25">
      <c r="A88" s="5" t="s">
        <v>19</v>
      </c>
      <c r="B88" s="6"/>
      <c r="C88" s="6"/>
      <c r="D88" s="6">
        <v>490.77</v>
      </c>
      <c r="E88" s="6"/>
      <c r="F88" s="6"/>
      <c r="G88" s="6"/>
      <c r="H88" s="6"/>
      <c r="I88" s="6">
        <v>490.77</v>
      </c>
    </row>
    <row r="89" spans="1:9" x14ac:dyDescent="0.25">
      <c r="A89" s="5" t="s">
        <v>77</v>
      </c>
      <c r="B89" s="6"/>
      <c r="C89" s="6"/>
      <c r="D89" s="6"/>
      <c r="E89" s="6">
        <v>384.71</v>
      </c>
      <c r="F89" s="6"/>
      <c r="G89" s="6"/>
      <c r="H89" s="6"/>
      <c r="I89" s="6">
        <v>384.71</v>
      </c>
    </row>
    <row r="90" spans="1:9" x14ac:dyDescent="0.25">
      <c r="A90" s="5" t="s">
        <v>86</v>
      </c>
      <c r="B90" s="6"/>
      <c r="C90" s="6">
        <v>479.52</v>
      </c>
      <c r="D90" s="6"/>
      <c r="E90" s="6"/>
      <c r="F90" s="6"/>
      <c r="G90" s="6"/>
      <c r="H90" s="6"/>
      <c r="I90" s="6">
        <v>479.52</v>
      </c>
    </row>
    <row r="91" spans="1:9" x14ac:dyDescent="0.25">
      <c r="A91" s="5" t="s">
        <v>97</v>
      </c>
      <c r="B91" s="6"/>
      <c r="C91" s="6"/>
      <c r="D91" s="6">
        <v>244.73</v>
      </c>
      <c r="E91" s="6"/>
      <c r="F91" s="6"/>
      <c r="G91" s="6"/>
      <c r="H91" s="6"/>
      <c r="I91" s="6">
        <v>244.73</v>
      </c>
    </row>
    <row r="92" spans="1:9" x14ac:dyDescent="0.25">
      <c r="A92" s="5" t="s">
        <v>118</v>
      </c>
      <c r="B92" s="6"/>
      <c r="C92" s="6"/>
      <c r="D92" s="6"/>
      <c r="E92" s="6">
        <v>87.2</v>
      </c>
      <c r="F92" s="6"/>
      <c r="G92" s="6"/>
      <c r="H92" s="6"/>
      <c r="I92" s="6">
        <v>87.2</v>
      </c>
    </row>
    <row r="93" spans="1:9" x14ac:dyDescent="0.25">
      <c r="A93" s="5" t="s">
        <v>89</v>
      </c>
      <c r="B93" s="6">
        <v>101.29</v>
      </c>
      <c r="C93" s="6"/>
      <c r="D93" s="6"/>
      <c r="E93" s="6"/>
      <c r="F93" s="6"/>
      <c r="G93" s="6"/>
      <c r="H93" s="6"/>
      <c r="I93" s="6">
        <v>101.29</v>
      </c>
    </row>
    <row r="94" spans="1:9" x14ac:dyDescent="0.25">
      <c r="A94" s="5" t="s">
        <v>37</v>
      </c>
      <c r="B94" s="6"/>
      <c r="C94" s="6">
        <v>135.62</v>
      </c>
      <c r="D94" s="6"/>
      <c r="E94" s="6"/>
      <c r="F94" s="6"/>
      <c r="G94" s="6"/>
      <c r="H94" s="6"/>
      <c r="I94" s="6">
        <v>135.62</v>
      </c>
    </row>
    <row r="95" spans="1:9" x14ac:dyDescent="0.25">
      <c r="A95" s="5" t="s">
        <v>46</v>
      </c>
      <c r="B95" s="6">
        <v>368.74</v>
      </c>
      <c r="C95" s="6"/>
      <c r="D95" s="6"/>
      <c r="E95" s="6"/>
      <c r="F95" s="6"/>
      <c r="G95" s="6"/>
      <c r="H95" s="6"/>
      <c r="I95" s="6">
        <v>368.74</v>
      </c>
    </row>
    <row r="96" spans="1:9" x14ac:dyDescent="0.25">
      <c r="A96" s="5" t="s">
        <v>57</v>
      </c>
      <c r="B96" s="6"/>
      <c r="C96" s="6">
        <v>255.74</v>
      </c>
      <c r="D96" s="6"/>
      <c r="E96" s="6"/>
      <c r="F96" s="6"/>
      <c r="G96" s="6"/>
      <c r="H96" s="6"/>
      <c r="I96" s="6">
        <v>255.74</v>
      </c>
    </row>
    <row r="97" spans="1:9" x14ac:dyDescent="0.25">
      <c r="A97" s="5" t="s">
        <v>41</v>
      </c>
      <c r="B97" s="6"/>
      <c r="C97" s="6"/>
      <c r="D97" s="6"/>
      <c r="E97" s="6"/>
      <c r="F97" s="6"/>
      <c r="G97" s="6"/>
      <c r="H97" s="6">
        <v>62.48</v>
      </c>
      <c r="I97" s="6">
        <v>62.48</v>
      </c>
    </row>
    <row r="98" spans="1:9" x14ac:dyDescent="0.25">
      <c r="A98" s="5" t="s">
        <v>68</v>
      </c>
      <c r="B98" s="6"/>
      <c r="C98" s="6"/>
      <c r="D98" s="6"/>
      <c r="E98" s="6"/>
      <c r="F98" s="6">
        <v>132.47999999999999</v>
      </c>
      <c r="G98" s="6"/>
      <c r="H98" s="6"/>
      <c r="I98" s="6">
        <v>132.47999999999999</v>
      </c>
    </row>
    <row r="99" spans="1:9" x14ac:dyDescent="0.25">
      <c r="A99" s="5" t="s">
        <v>105</v>
      </c>
      <c r="B99" s="6"/>
      <c r="C99" s="6"/>
      <c r="D99" s="6"/>
      <c r="E99" s="6"/>
      <c r="F99" s="6"/>
      <c r="G99" s="6"/>
      <c r="H99" s="6">
        <v>422.63</v>
      </c>
      <c r="I99" s="6">
        <v>422.63</v>
      </c>
    </row>
    <row r="100" spans="1:9" x14ac:dyDescent="0.25">
      <c r="A100" s="5" t="s">
        <v>49</v>
      </c>
      <c r="B100" s="6">
        <v>266.2</v>
      </c>
      <c r="C100" s="6"/>
      <c r="D100" s="6"/>
      <c r="E100" s="6"/>
      <c r="F100" s="6"/>
      <c r="G100" s="6"/>
      <c r="H100" s="6"/>
      <c r="I100" s="6">
        <v>266.2</v>
      </c>
    </row>
    <row r="101" spans="1:9" x14ac:dyDescent="0.25">
      <c r="A101" s="5" t="s">
        <v>44</v>
      </c>
      <c r="B101" s="6"/>
      <c r="C101" s="6"/>
      <c r="D101" s="6">
        <v>383.58</v>
      </c>
      <c r="E101" s="6"/>
      <c r="F101" s="6"/>
      <c r="G101" s="6"/>
      <c r="H101" s="6"/>
      <c r="I101" s="6">
        <v>383.58</v>
      </c>
    </row>
    <row r="102" spans="1:9" x14ac:dyDescent="0.25">
      <c r="A102" s="5" t="s">
        <v>30</v>
      </c>
      <c r="B102" s="6"/>
      <c r="C102" s="6">
        <v>309.67</v>
      </c>
      <c r="D102" s="6"/>
      <c r="E102" s="6"/>
      <c r="F102" s="6"/>
      <c r="G102" s="6"/>
      <c r="H102" s="6"/>
      <c r="I102" s="6">
        <v>309.67</v>
      </c>
    </row>
    <row r="103" spans="1:9" x14ac:dyDescent="0.25">
      <c r="A103" s="5" t="s">
        <v>88</v>
      </c>
      <c r="B103" s="6"/>
      <c r="C103" s="6">
        <v>277.14</v>
      </c>
      <c r="D103" s="6"/>
      <c r="E103" s="6"/>
      <c r="F103" s="6"/>
      <c r="G103" s="6"/>
      <c r="H103" s="6"/>
      <c r="I103" s="6">
        <v>277.14</v>
      </c>
    </row>
    <row r="104" spans="1:9" x14ac:dyDescent="0.25">
      <c r="A104" s="5" t="s">
        <v>36</v>
      </c>
      <c r="B104" s="6"/>
      <c r="C104" s="6"/>
      <c r="D104" s="6"/>
      <c r="E104" s="6"/>
      <c r="F104" s="6"/>
      <c r="G104" s="6"/>
      <c r="H104" s="6">
        <v>257.20999999999998</v>
      </c>
      <c r="I104" s="6">
        <v>257.20999999999998</v>
      </c>
    </row>
    <row r="105" spans="1:9" x14ac:dyDescent="0.25">
      <c r="A105" s="5" t="s">
        <v>83</v>
      </c>
      <c r="B105" s="6"/>
      <c r="C105" s="6"/>
      <c r="D105" s="6"/>
      <c r="E105" s="6"/>
      <c r="F105" s="6">
        <v>87.6</v>
      </c>
      <c r="G105" s="6"/>
      <c r="H105" s="6"/>
      <c r="I105" s="6">
        <v>87.6</v>
      </c>
    </row>
    <row r="106" spans="1:9" x14ac:dyDescent="0.25">
      <c r="A106" s="5" t="s">
        <v>87</v>
      </c>
      <c r="B106" s="6"/>
      <c r="C106" s="6"/>
      <c r="D106" s="6">
        <v>355.43</v>
      </c>
      <c r="E106" s="6"/>
      <c r="F106" s="6"/>
      <c r="G106" s="6"/>
      <c r="H106" s="6"/>
      <c r="I106" s="6">
        <v>355.43</v>
      </c>
    </row>
    <row r="107" spans="1:9" x14ac:dyDescent="0.25">
      <c r="A107" s="5" t="s">
        <v>29</v>
      </c>
      <c r="B107" s="6"/>
      <c r="C107" s="6"/>
      <c r="D107" s="6"/>
      <c r="E107" s="6"/>
      <c r="F107" s="6">
        <v>215.44</v>
      </c>
      <c r="G107" s="6"/>
      <c r="H107" s="6"/>
      <c r="I107" s="6">
        <v>215.44</v>
      </c>
    </row>
    <row r="108" spans="1:9" x14ac:dyDescent="0.25">
      <c r="A108" s="5" t="s">
        <v>63</v>
      </c>
      <c r="B108" s="6"/>
      <c r="C108" s="6"/>
      <c r="D108" s="6"/>
      <c r="E108" s="6">
        <v>143.68</v>
      </c>
      <c r="F108" s="6"/>
      <c r="G108" s="6"/>
      <c r="H108" s="6"/>
      <c r="I108" s="6">
        <v>143.68</v>
      </c>
    </row>
    <row r="109" spans="1:9" x14ac:dyDescent="0.25">
      <c r="A109" s="5" t="s">
        <v>112</v>
      </c>
      <c r="B109" s="6"/>
      <c r="C109" s="6"/>
      <c r="D109" s="6"/>
      <c r="E109" s="6">
        <v>319.55</v>
      </c>
      <c r="F109" s="6"/>
      <c r="G109" s="6"/>
      <c r="H109" s="6"/>
      <c r="I109" s="6">
        <v>319.55</v>
      </c>
    </row>
    <row r="110" spans="1:9" x14ac:dyDescent="0.25">
      <c r="A110" s="5" t="s">
        <v>99</v>
      </c>
      <c r="B110" s="6"/>
      <c r="C110" s="6"/>
      <c r="D110" s="6"/>
      <c r="E110" s="6">
        <v>384.61</v>
      </c>
      <c r="F110" s="6"/>
      <c r="G110" s="6"/>
      <c r="H110" s="6"/>
      <c r="I110" s="6">
        <v>384.61</v>
      </c>
    </row>
    <row r="111" spans="1:9" x14ac:dyDescent="0.25">
      <c r="A111" s="5" t="s">
        <v>104</v>
      </c>
      <c r="B111" s="6"/>
      <c r="C111" s="6"/>
      <c r="D111" s="6"/>
      <c r="E111" s="6"/>
      <c r="F111" s="6"/>
      <c r="G111" s="6"/>
      <c r="H111" s="6">
        <v>416.29</v>
      </c>
      <c r="I111" s="6">
        <v>416.29</v>
      </c>
    </row>
    <row r="112" spans="1:9" x14ac:dyDescent="0.25">
      <c r="A112" s="4" t="s">
        <v>120</v>
      </c>
      <c r="B112" s="6">
        <v>2998.3999999999996</v>
      </c>
      <c r="C112" s="6">
        <v>5143.2299999999996</v>
      </c>
      <c r="D112" s="6">
        <v>2905.18</v>
      </c>
      <c r="E112" s="6">
        <v>4421.3799999999992</v>
      </c>
      <c r="F112" s="6">
        <v>3757.51</v>
      </c>
      <c r="G112" s="6">
        <v>3127.3000000000006</v>
      </c>
      <c r="H112" s="6">
        <v>5978.08</v>
      </c>
      <c r="I112" s="6">
        <v>28331.08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2"/>
  <sheetViews>
    <sheetView workbookViewId="0">
      <selection activeCell="G5" sqref="G5"/>
    </sheetView>
  </sheetViews>
  <sheetFormatPr defaultRowHeight="15" x14ac:dyDescent="0.25"/>
  <cols>
    <col min="1" max="1" width="14.28515625" customWidth="1"/>
    <col min="2" max="3" width="20.42578125" customWidth="1"/>
    <col min="4" max="4" width="13.7109375" style="11" customWidth="1"/>
    <col min="5" max="5" width="14.42578125" customWidth="1"/>
    <col min="6" max="6" width="18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0" t="s">
        <v>3</v>
      </c>
      <c r="E1" s="1" t="s">
        <v>4</v>
      </c>
      <c r="F1" s="1" t="s">
        <v>5</v>
      </c>
    </row>
    <row r="2" spans="1:15" x14ac:dyDescent="0.25">
      <c r="A2" s="2" t="s">
        <v>6</v>
      </c>
      <c r="B2" s="2" t="s">
        <v>7</v>
      </c>
      <c r="C2" s="2">
        <v>232.79</v>
      </c>
      <c r="D2" s="11">
        <v>20</v>
      </c>
      <c r="E2" s="2">
        <v>186.23</v>
      </c>
      <c r="F2" s="2" t="s">
        <v>8</v>
      </c>
    </row>
    <row r="3" spans="1:15" x14ac:dyDescent="0.25">
      <c r="A3" s="2" t="s">
        <v>9</v>
      </c>
      <c r="B3" s="2" t="s">
        <v>10</v>
      </c>
      <c r="C3" s="2">
        <v>393.77</v>
      </c>
      <c r="D3" s="11">
        <v>15</v>
      </c>
      <c r="E3" s="2">
        <v>334.7</v>
      </c>
      <c r="F3" s="2" t="s">
        <v>11</v>
      </c>
    </row>
    <row r="4" spans="1:15" x14ac:dyDescent="0.25">
      <c r="A4" s="2" t="s">
        <v>12</v>
      </c>
      <c r="B4" s="2" t="s">
        <v>13</v>
      </c>
      <c r="C4" s="2">
        <v>351.87</v>
      </c>
      <c r="D4" s="11">
        <v>0</v>
      </c>
      <c r="E4" s="2">
        <v>351.87</v>
      </c>
      <c r="F4" s="2" t="s">
        <v>8</v>
      </c>
    </row>
    <row r="5" spans="1:15" x14ac:dyDescent="0.25">
      <c r="A5" s="2" t="s">
        <v>35</v>
      </c>
      <c r="B5" s="2" t="s">
        <v>15</v>
      </c>
      <c r="C5" s="2">
        <v>388.1</v>
      </c>
      <c r="D5" s="11">
        <v>25</v>
      </c>
      <c r="E5" s="2">
        <v>291.08</v>
      </c>
      <c r="F5" s="2" t="s">
        <v>11</v>
      </c>
    </row>
    <row r="6" spans="1:15" x14ac:dyDescent="0.25">
      <c r="A6" s="2" t="s">
        <v>102</v>
      </c>
      <c r="B6" s="2" t="s">
        <v>15</v>
      </c>
      <c r="C6" s="2">
        <v>482.74</v>
      </c>
      <c r="D6" s="11">
        <v>20</v>
      </c>
      <c r="E6" s="2">
        <v>386.19</v>
      </c>
      <c r="F6" s="2" t="s">
        <v>11</v>
      </c>
      <c r="H6" s="9" t="s">
        <v>123</v>
      </c>
      <c r="I6" s="9"/>
      <c r="J6" s="9"/>
      <c r="K6" s="9"/>
      <c r="L6" s="9"/>
      <c r="M6" s="9"/>
      <c r="O6">
        <f>COUNTIF(F:F,F3)</f>
        <v>18</v>
      </c>
    </row>
    <row r="7" spans="1:15" ht="15" customHeight="1" x14ac:dyDescent="0.25">
      <c r="A7" s="2" t="s">
        <v>17</v>
      </c>
      <c r="B7" s="2" t="s">
        <v>7</v>
      </c>
      <c r="C7" s="2">
        <v>95.41</v>
      </c>
      <c r="D7" s="11">
        <v>15</v>
      </c>
      <c r="E7" s="2">
        <v>81.099999999999994</v>
      </c>
      <c r="F7" s="2" t="s">
        <v>18</v>
      </c>
      <c r="I7" s="9"/>
      <c r="J7" s="9"/>
      <c r="K7" s="9"/>
      <c r="L7" s="9"/>
      <c r="M7" s="9"/>
      <c r="N7" s="9"/>
    </row>
    <row r="8" spans="1:15" ht="15" customHeight="1" x14ac:dyDescent="0.25">
      <c r="A8" s="2" t="s">
        <v>19</v>
      </c>
      <c r="B8" s="2" t="s">
        <v>7</v>
      </c>
      <c r="C8" s="2">
        <v>490.77</v>
      </c>
      <c r="D8" s="11">
        <v>10</v>
      </c>
      <c r="E8" s="2">
        <v>441.69</v>
      </c>
      <c r="F8" s="2" t="s">
        <v>20</v>
      </c>
      <c r="H8" s="9" t="s">
        <v>124</v>
      </c>
      <c r="I8" s="9"/>
      <c r="J8" s="9"/>
      <c r="K8" s="9"/>
      <c r="L8" s="9"/>
      <c r="M8" s="9"/>
      <c r="O8">
        <f>SUM(E:E)</f>
        <v>23077.149999999998</v>
      </c>
    </row>
    <row r="9" spans="1:15" x14ac:dyDescent="0.25">
      <c r="A9" s="2" t="s">
        <v>21</v>
      </c>
      <c r="B9" s="2" t="s">
        <v>22</v>
      </c>
      <c r="C9" s="2">
        <v>188.07</v>
      </c>
      <c r="D9" s="11">
        <v>50</v>
      </c>
      <c r="E9" s="2">
        <v>94.03</v>
      </c>
      <c r="F9" s="2" t="s">
        <v>18</v>
      </c>
    </row>
    <row r="10" spans="1:15" ht="15" customHeight="1" x14ac:dyDescent="0.25">
      <c r="A10" s="2" t="s">
        <v>23</v>
      </c>
      <c r="B10" s="2" t="s">
        <v>13</v>
      </c>
      <c r="C10" s="2">
        <v>319.29000000000002</v>
      </c>
      <c r="D10" s="11">
        <v>5</v>
      </c>
      <c r="E10" s="2">
        <v>303.33</v>
      </c>
      <c r="F10" s="2" t="s">
        <v>24</v>
      </c>
      <c r="H10" s="9" t="s">
        <v>126</v>
      </c>
      <c r="I10" s="9"/>
      <c r="J10" s="9"/>
      <c r="K10" s="9"/>
      <c r="L10" s="9"/>
      <c r="M10" s="9"/>
      <c r="O10">
        <f>COUNTIF(B:B,B4)</f>
        <v>13</v>
      </c>
    </row>
    <row r="11" spans="1:15" x14ac:dyDescent="0.25">
      <c r="A11" s="2" t="s">
        <v>103</v>
      </c>
      <c r="B11" s="2" t="s">
        <v>15</v>
      </c>
      <c r="C11" s="2">
        <v>400.25</v>
      </c>
      <c r="D11" s="11">
        <v>30</v>
      </c>
      <c r="E11" s="2">
        <v>280.17</v>
      </c>
      <c r="F11" s="2" t="s">
        <v>24</v>
      </c>
    </row>
    <row r="12" spans="1:15" x14ac:dyDescent="0.25">
      <c r="A12" s="2" t="s">
        <v>66</v>
      </c>
      <c r="B12" s="2" t="s">
        <v>15</v>
      </c>
      <c r="C12" s="2">
        <v>432.1</v>
      </c>
      <c r="D12" s="11">
        <v>5</v>
      </c>
      <c r="E12" s="2">
        <v>410.5</v>
      </c>
      <c r="F12" s="2" t="s">
        <v>8</v>
      </c>
    </row>
    <row r="13" spans="1:15" x14ac:dyDescent="0.25">
      <c r="A13" s="2" t="s">
        <v>27</v>
      </c>
      <c r="B13" s="2" t="s">
        <v>13</v>
      </c>
      <c r="C13" s="2">
        <v>305.93</v>
      </c>
      <c r="D13" s="11">
        <v>10</v>
      </c>
      <c r="E13" s="2">
        <v>275.33999999999997</v>
      </c>
      <c r="F13" s="2" t="s">
        <v>11</v>
      </c>
    </row>
    <row r="14" spans="1:15" x14ac:dyDescent="0.25">
      <c r="A14" s="2" t="s">
        <v>28</v>
      </c>
      <c r="B14" s="2" t="s">
        <v>13</v>
      </c>
      <c r="C14" s="2">
        <v>274.11</v>
      </c>
      <c r="D14" s="11">
        <v>15</v>
      </c>
      <c r="E14" s="2">
        <v>232.99</v>
      </c>
      <c r="F14" s="2" t="s">
        <v>24</v>
      </c>
    </row>
    <row r="15" spans="1:15" x14ac:dyDescent="0.25">
      <c r="A15" s="2" t="s">
        <v>29</v>
      </c>
      <c r="B15" s="2" t="s">
        <v>13</v>
      </c>
      <c r="C15" s="2">
        <v>215.44</v>
      </c>
      <c r="D15" s="11">
        <v>50</v>
      </c>
      <c r="E15" s="2">
        <v>107.72</v>
      </c>
      <c r="F15" s="2" t="s">
        <v>20</v>
      </c>
    </row>
    <row r="16" spans="1:15" x14ac:dyDescent="0.25">
      <c r="A16" s="2" t="s">
        <v>30</v>
      </c>
      <c r="B16" s="2" t="s">
        <v>31</v>
      </c>
      <c r="C16" s="2">
        <v>309.67</v>
      </c>
      <c r="D16" s="11">
        <v>25</v>
      </c>
      <c r="E16" s="2">
        <v>232.25</v>
      </c>
      <c r="F16" s="2" t="s">
        <v>20</v>
      </c>
    </row>
    <row r="17" spans="1:6" x14ac:dyDescent="0.25">
      <c r="A17" s="2" t="s">
        <v>32</v>
      </c>
      <c r="B17" s="2" t="s">
        <v>7</v>
      </c>
      <c r="C17" s="2">
        <v>40.869999999999997</v>
      </c>
      <c r="D17" s="11">
        <v>15</v>
      </c>
      <c r="E17" s="2">
        <v>34.74</v>
      </c>
      <c r="F17" s="2" t="s">
        <v>8</v>
      </c>
    </row>
    <row r="18" spans="1:6" x14ac:dyDescent="0.25">
      <c r="A18" s="2" t="s">
        <v>33</v>
      </c>
      <c r="B18" s="2" t="s">
        <v>7</v>
      </c>
      <c r="C18" s="2">
        <v>90.2</v>
      </c>
      <c r="D18" s="11">
        <v>10</v>
      </c>
      <c r="E18" s="2">
        <v>81.180000000000007</v>
      </c>
      <c r="F18" s="2" t="s">
        <v>18</v>
      </c>
    </row>
    <row r="19" spans="1:6" x14ac:dyDescent="0.25">
      <c r="A19" s="2" t="s">
        <v>34</v>
      </c>
      <c r="B19" s="2" t="s">
        <v>7</v>
      </c>
      <c r="C19" s="2">
        <v>92.92</v>
      </c>
      <c r="D19" s="11">
        <v>10</v>
      </c>
      <c r="E19" s="2">
        <v>83.63</v>
      </c>
      <c r="F19" s="2" t="s">
        <v>24</v>
      </c>
    </row>
    <row r="20" spans="1:6" x14ac:dyDescent="0.25">
      <c r="A20" s="2" t="s">
        <v>62</v>
      </c>
      <c r="B20" s="2" t="s">
        <v>15</v>
      </c>
      <c r="C20" s="2">
        <v>133.33000000000001</v>
      </c>
      <c r="D20" s="11">
        <v>5</v>
      </c>
      <c r="E20" s="2">
        <v>126.66</v>
      </c>
      <c r="F20" s="2" t="s">
        <v>24</v>
      </c>
    </row>
    <row r="21" spans="1:6" x14ac:dyDescent="0.25">
      <c r="A21" s="2" t="s">
        <v>100</v>
      </c>
      <c r="B21" s="2" t="s">
        <v>15</v>
      </c>
      <c r="C21" s="2">
        <v>20.309999999999999</v>
      </c>
      <c r="D21" s="11">
        <v>5</v>
      </c>
      <c r="E21" s="2">
        <v>19.29</v>
      </c>
      <c r="F21" s="2" t="s">
        <v>8</v>
      </c>
    </row>
    <row r="22" spans="1:6" x14ac:dyDescent="0.25">
      <c r="A22" s="2" t="s">
        <v>37</v>
      </c>
      <c r="B22" s="2" t="s">
        <v>31</v>
      </c>
      <c r="C22" s="2">
        <v>135.62</v>
      </c>
      <c r="D22" s="11">
        <v>30</v>
      </c>
      <c r="E22" s="2">
        <v>94.93</v>
      </c>
      <c r="F22" s="2" t="s">
        <v>20</v>
      </c>
    </row>
    <row r="23" spans="1:6" x14ac:dyDescent="0.25">
      <c r="A23" s="2" t="s">
        <v>38</v>
      </c>
      <c r="B23" s="2" t="s">
        <v>10</v>
      </c>
      <c r="C23" s="2">
        <v>236.7</v>
      </c>
      <c r="D23" s="11">
        <v>0</v>
      </c>
      <c r="E23" s="2">
        <v>236.7</v>
      </c>
      <c r="F23" s="2" t="s">
        <v>11</v>
      </c>
    </row>
    <row r="24" spans="1:6" x14ac:dyDescent="0.25">
      <c r="A24" s="2" t="s">
        <v>39</v>
      </c>
      <c r="B24" s="2" t="s">
        <v>13</v>
      </c>
      <c r="C24" s="2">
        <v>460.89</v>
      </c>
      <c r="D24" s="11">
        <v>10</v>
      </c>
      <c r="E24" s="2">
        <v>414.8</v>
      </c>
      <c r="F24" s="2" t="s">
        <v>18</v>
      </c>
    </row>
    <row r="25" spans="1:6" x14ac:dyDescent="0.25">
      <c r="A25" s="2" t="s">
        <v>40</v>
      </c>
      <c r="B25" s="2" t="s">
        <v>10</v>
      </c>
      <c r="C25" s="2">
        <v>470.33</v>
      </c>
      <c r="D25" s="11">
        <v>0</v>
      </c>
      <c r="E25" s="2">
        <v>470.33</v>
      </c>
      <c r="F25" s="2" t="s">
        <v>24</v>
      </c>
    </row>
    <row r="26" spans="1:6" x14ac:dyDescent="0.25">
      <c r="A26" s="2" t="s">
        <v>91</v>
      </c>
      <c r="B26" s="2" t="s">
        <v>15</v>
      </c>
      <c r="C26" s="2">
        <v>152.43</v>
      </c>
      <c r="D26" s="11">
        <v>20</v>
      </c>
      <c r="E26" s="2">
        <v>121.94</v>
      </c>
      <c r="F26" s="2" t="s">
        <v>18</v>
      </c>
    </row>
    <row r="27" spans="1:6" x14ac:dyDescent="0.25">
      <c r="A27" s="2" t="s">
        <v>42</v>
      </c>
      <c r="B27" s="2" t="s">
        <v>13</v>
      </c>
      <c r="C27" s="2">
        <v>203.43</v>
      </c>
      <c r="D27" s="11">
        <v>5</v>
      </c>
      <c r="E27" s="2">
        <v>193.26</v>
      </c>
      <c r="F27" s="2" t="s">
        <v>18</v>
      </c>
    </row>
    <row r="28" spans="1:6" x14ac:dyDescent="0.25">
      <c r="A28" s="2" t="s">
        <v>43</v>
      </c>
      <c r="B28" s="2" t="s">
        <v>31</v>
      </c>
      <c r="C28" s="2">
        <v>268.42</v>
      </c>
      <c r="D28" s="11">
        <v>5</v>
      </c>
      <c r="E28" s="2">
        <v>255</v>
      </c>
      <c r="F28" s="2" t="s">
        <v>24</v>
      </c>
    </row>
    <row r="29" spans="1:6" x14ac:dyDescent="0.25">
      <c r="A29" s="2" t="s">
        <v>44</v>
      </c>
      <c r="B29" s="2" t="s">
        <v>7</v>
      </c>
      <c r="C29" s="2">
        <v>383.58</v>
      </c>
      <c r="D29" s="11">
        <v>10</v>
      </c>
      <c r="E29" s="2">
        <v>345.22</v>
      </c>
      <c r="F29" s="2" t="s">
        <v>20</v>
      </c>
    </row>
    <row r="30" spans="1:6" x14ac:dyDescent="0.25">
      <c r="A30" s="2" t="s">
        <v>45</v>
      </c>
      <c r="B30" s="2" t="s">
        <v>31</v>
      </c>
      <c r="C30" s="2">
        <v>422.02</v>
      </c>
      <c r="D30" s="11">
        <v>30</v>
      </c>
      <c r="E30" s="2">
        <v>295.41000000000003</v>
      </c>
      <c r="F30" s="2" t="s">
        <v>18</v>
      </c>
    </row>
    <row r="31" spans="1:6" x14ac:dyDescent="0.25">
      <c r="A31" s="2" t="s">
        <v>46</v>
      </c>
      <c r="B31" s="2" t="s">
        <v>10</v>
      </c>
      <c r="C31" s="2">
        <v>368.74</v>
      </c>
      <c r="D31" s="11">
        <v>5</v>
      </c>
      <c r="E31" s="2">
        <v>350.3</v>
      </c>
      <c r="F31" s="2" t="s">
        <v>20</v>
      </c>
    </row>
    <row r="32" spans="1:6" x14ac:dyDescent="0.25">
      <c r="A32" s="2" t="s">
        <v>47</v>
      </c>
      <c r="B32" s="2" t="s">
        <v>10</v>
      </c>
      <c r="C32" s="2">
        <v>458.8</v>
      </c>
      <c r="D32" s="11">
        <v>50</v>
      </c>
      <c r="E32" s="2">
        <v>229.4</v>
      </c>
      <c r="F32" s="2" t="s">
        <v>8</v>
      </c>
    </row>
    <row r="33" spans="1:6" x14ac:dyDescent="0.25">
      <c r="A33" s="2" t="s">
        <v>48</v>
      </c>
      <c r="B33" s="2" t="s">
        <v>13</v>
      </c>
      <c r="C33" s="2">
        <v>430.43</v>
      </c>
      <c r="D33" s="11">
        <v>0</v>
      </c>
      <c r="E33" s="2">
        <v>430.43</v>
      </c>
      <c r="F33" s="2" t="s">
        <v>20</v>
      </c>
    </row>
    <row r="34" spans="1:6" x14ac:dyDescent="0.25">
      <c r="A34" s="2" t="s">
        <v>49</v>
      </c>
      <c r="B34" s="2" t="s">
        <v>10</v>
      </c>
      <c r="C34" s="2">
        <v>266.2</v>
      </c>
      <c r="D34" s="11">
        <v>0</v>
      </c>
      <c r="E34" s="2">
        <v>266.2</v>
      </c>
      <c r="F34" s="2" t="s">
        <v>20</v>
      </c>
    </row>
    <row r="35" spans="1:6" x14ac:dyDescent="0.25">
      <c r="A35" s="2" t="s">
        <v>50</v>
      </c>
      <c r="B35" s="2" t="s">
        <v>22</v>
      </c>
      <c r="C35" s="2">
        <v>34.130000000000003</v>
      </c>
      <c r="D35" s="11">
        <v>50</v>
      </c>
      <c r="E35" s="2">
        <v>17.07</v>
      </c>
      <c r="F35" s="2" t="s">
        <v>11</v>
      </c>
    </row>
    <row r="36" spans="1:6" x14ac:dyDescent="0.25">
      <c r="A36" s="2" t="s">
        <v>51</v>
      </c>
      <c r="B36" s="2" t="s">
        <v>52</v>
      </c>
      <c r="C36" s="2">
        <v>67.36</v>
      </c>
      <c r="D36" s="11">
        <v>25</v>
      </c>
      <c r="E36" s="2">
        <v>50.52</v>
      </c>
      <c r="F36" s="2" t="s">
        <v>8</v>
      </c>
    </row>
    <row r="37" spans="1:6" x14ac:dyDescent="0.25">
      <c r="A37" s="2" t="s">
        <v>53</v>
      </c>
      <c r="B37" s="2" t="s">
        <v>31</v>
      </c>
      <c r="C37" s="2">
        <v>368.25</v>
      </c>
      <c r="D37" s="11">
        <v>20</v>
      </c>
      <c r="E37" s="2">
        <v>294.60000000000002</v>
      </c>
      <c r="F37" s="2" t="s">
        <v>24</v>
      </c>
    </row>
    <row r="38" spans="1:6" x14ac:dyDescent="0.25">
      <c r="A38" s="2" t="s">
        <v>54</v>
      </c>
      <c r="B38" s="2" t="s">
        <v>52</v>
      </c>
      <c r="C38" s="2">
        <v>274.64999999999998</v>
      </c>
      <c r="D38" s="11">
        <v>20</v>
      </c>
      <c r="E38" s="2">
        <v>219.72</v>
      </c>
      <c r="F38" s="2" t="s">
        <v>18</v>
      </c>
    </row>
    <row r="39" spans="1:6" x14ac:dyDescent="0.25">
      <c r="A39" s="2" t="s">
        <v>55</v>
      </c>
      <c r="B39" s="2" t="s">
        <v>22</v>
      </c>
      <c r="C39" s="2">
        <v>369.15</v>
      </c>
      <c r="D39" s="11">
        <v>0</v>
      </c>
      <c r="E39" s="2">
        <v>369.15</v>
      </c>
      <c r="F39" s="2" t="s">
        <v>24</v>
      </c>
    </row>
    <row r="40" spans="1:6" x14ac:dyDescent="0.25">
      <c r="A40" s="2" t="s">
        <v>56</v>
      </c>
      <c r="B40" s="2" t="s">
        <v>7</v>
      </c>
      <c r="C40" s="2">
        <v>84.26</v>
      </c>
      <c r="D40" s="11">
        <v>5</v>
      </c>
      <c r="E40" s="2">
        <v>80.05</v>
      </c>
      <c r="F40" s="2" t="s">
        <v>11</v>
      </c>
    </row>
    <row r="41" spans="1:6" x14ac:dyDescent="0.25">
      <c r="A41" s="2" t="s">
        <v>57</v>
      </c>
      <c r="B41" s="2" t="s">
        <v>31</v>
      </c>
      <c r="C41" s="2">
        <v>255.74</v>
      </c>
      <c r="D41" s="11">
        <v>25</v>
      </c>
      <c r="E41" s="2">
        <v>191.81</v>
      </c>
      <c r="F41" s="2" t="s">
        <v>20</v>
      </c>
    </row>
    <row r="42" spans="1:6" x14ac:dyDescent="0.25">
      <c r="A42" s="2" t="s">
        <v>58</v>
      </c>
      <c r="B42" s="2" t="s">
        <v>52</v>
      </c>
      <c r="C42" s="2">
        <v>440.74</v>
      </c>
      <c r="D42" s="11">
        <v>30</v>
      </c>
      <c r="E42" s="2">
        <v>308.52</v>
      </c>
      <c r="F42" s="2" t="s">
        <v>11</v>
      </c>
    </row>
    <row r="43" spans="1:6" x14ac:dyDescent="0.25">
      <c r="A43" s="2" t="s">
        <v>59</v>
      </c>
      <c r="B43" s="2" t="s">
        <v>10</v>
      </c>
      <c r="C43" s="2">
        <v>199.88</v>
      </c>
      <c r="D43" s="11">
        <v>10</v>
      </c>
      <c r="E43" s="2">
        <v>179.89</v>
      </c>
      <c r="F43" s="2" t="s">
        <v>8</v>
      </c>
    </row>
    <row r="44" spans="1:6" x14ac:dyDescent="0.25">
      <c r="A44" s="2" t="s">
        <v>60</v>
      </c>
      <c r="B44" s="2" t="s">
        <v>52</v>
      </c>
      <c r="C44" s="2">
        <v>317.98</v>
      </c>
      <c r="D44" s="11">
        <v>5</v>
      </c>
      <c r="E44" s="2">
        <v>302.08</v>
      </c>
      <c r="F44" s="2" t="s">
        <v>24</v>
      </c>
    </row>
    <row r="45" spans="1:6" x14ac:dyDescent="0.25">
      <c r="A45" s="2" t="s">
        <v>61</v>
      </c>
      <c r="B45" s="2" t="s">
        <v>52</v>
      </c>
      <c r="C45" s="2">
        <v>439.4</v>
      </c>
      <c r="D45" s="11">
        <v>10</v>
      </c>
      <c r="E45" s="2">
        <v>395.46</v>
      </c>
      <c r="F45" s="2" t="s">
        <v>11</v>
      </c>
    </row>
    <row r="46" spans="1:6" x14ac:dyDescent="0.25">
      <c r="A46" s="2" t="s">
        <v>41</v>
      </c>
      <c r="B46" s="2" t="s">
        <v>15</v>
      </c>
      <c r="C46" s="2">
        <v>62.48</v>
      </c>
      <c r="D46" s="11">
        <v>20</v>
      </c>
      <c r="E46" s="2">
        <v>49.98</v>
      </c>
      <c r="F46" s="2" t="s">
        <v>20</v>
      </c>
    </row>
    <row r="47" spans="1:6" x14ac:dyDescent="0.25">
      <c r="A47" s="2" t="s">
        <v>63</v>
      </c>
      <c r="B47" s="2" t="s">
        <v>22</v>
      </c>
      <c r="C47" s="2">
        <v>143.68</v>
      </c>
      <c r="D47" s="11">
        <v>10</v>
      </c>
      <c r="E47" s="2">
        <v>129.31</v>
      </c>
      <c r="F47" s="2" t="s">
        <v>20</v>
      </c>
    </row>
    <row r="48" spans="1:6" x14ac:dyDescent="0.25">
      <c r="A48" s="2" t="s">
        <v>64</v>
      </c>
      <c r="B48" s="2" t="s">
        <v>10</v>
      </c>
      <c r="C48" s="2">
        <v>209.41</v>
      </c>
      <c r="D48" s="11">
        <v>50</v>
      </c>
      <c r="E48" s="2">
        <v>104.7</v>
      </c>
      <c r="F48" s="2" t="s">
        <v>8</v>
      </c>
    </row>
    <row r="49" spans="1:6" x14ac:dyDescent="0.25">
      <c r="A49" s="2" t="s">
        <v>65</v>
      </c>
      <c r="B49" s="2" t="s">
        <v>13</v>
      </c>
      <c r="C49" s="2">
        <v>110.73</v>
      </c>
      <c r="D49" s="11">
        <v>30</v>
      </c>
      <c r="E49" s="2">
        <v>77.510000000000005</v>
      </c>
      <c r="F49" s="2" t="s">
        <v>11</v>
      </c>
    </row>
    <row r="50" spans="1:6" x14ac:dyDescent="0.25">
      <c r="A50" s="2" t="s">
        <v>73</v>
      </c>
      <c r="B50" s="2" t="s">
        <v>15</v>
      </c>
      <c r="C50" s="2">
        <v>483.48</v>
      </c>
      <c r="D50" s="11">
        <v>15</v>
      </c>
      <c r="E50" s="2">
        <v>410.96</v>
      </c>
      <c r="F50" s="2" t="s">
        <v>11</v>
      </c>
    </row>
    <row r="51" spans="1:6" x14ac:dyDescent="0.25">
      <c r="A51" s="2" t="s">
        <v>67</v>
      </c>
      <c r="B51" s="2" t="s">
        <v>31</v>
      </c>
      <c r="C51" s="2">
        <v>211.67</v>
      </c>
      <c r="D51" s="11">
        <v>50</v>
      </c>
      <c r="E51" s="2">
        <v>105.83</v>
      </c>
      <c r="F51" s="2" t="s">
        <v>8</v>
      </c>
    </row>
    <row r="52" spans="1:6" x14ac:dyDescent="0.25">
      <c r="A52" s="2" t="s">
        <v>68</v>
      </c>
      <c r="B52" s="2" t="s">
        <v>13</v>
      </c>
      <c r="C52" s="2">
        <v>132.47999999999999</v>
      </c>
      <c r="D52" s="11">
        <v>20</v>
      </c>
      <c r="E52" s="2">
        <v>105.98</v>
      </c>
      <c r="F52" s="2" t="s">
        <v>20</v>
      </c>
    </row>
    <row r="53" spans="1:6" x14ac:dyDescent="0.25">
      <c r="A53" s="2" t="s">
        <v>69</v>
      </c>
      <c r="B53" s="2" t="s">
        <v>7</v>
      </c>
      <c r="C53" s="2">
        <v>74.67</v>
      </c>
      <c r="D53" s="11">
        <v>20</v>
      </c>
      <c r="E53" s="2">
        <v>59.74</v>
      </c>
      <c r="F53" s="2" t="s">
        <v>11</v>
      </c>
    </row>
    <row r="54" spans="1:6" x14ac:dyDescent="0.25">
      <c r="A54" s="2" t="s">
        <v>70</v>
      </c>
      <c r="B54" s="2" t="s">
        <v>31</v>
      </c>
      <c r="C54" s="2">
        <v>439.81</v>
      </c>
      <c r="D54" s="11">
        <v>15</v>
      </c>
      <c r="E54" s="2">
        <v>373.84</v>
      </c>
      <c r="F54" s="2" t="s">
        <v>8</v>
      </c>
    </row>
    <row r="55" spans="1:6" x14ac:dyDescent="0.25">
      <c r="A55" s="2" t="s">
        <v>71</v>
      </c>
      <c r="B55" s="2" t="s">
        <v>10</v>
      </c>
      <c r="C55" s="2">
        <v>293.27999999999997</v>
      </c>
      <c r="D55" s="11">
        <v>30</v>
      </c>
      <c r="E55" s="2">
        <v>205.3</v>
      </c>
      <c r="F55" s="2" t="s">
        <v>8</v>
      </c>
    </row>
    <row r="56" spans="1:6" x14ac:dyDescent="0.25">
      <c r="A56" s="2" t="s">
        <v>72</v>
      </c>
      <c r="B56" s="2" t="s">
        <v>52</v>
      </c>
      <c r="C56" s="2">
        <v>419.54</v>
      </c>
      <c r="D56" s="11">
        <v>10</v>
      </c>
      <c r="E56" s="2">
        <v>377.59</v>
      </c>
      <c r="F56" s="2" t="s">
        <v>11</v>
      </c>
    </row>
    <row r="57" spans="1:6" x14ac:dyDescent="0.25">
      <c r="A57" s="2" t="s">
        <v>105</v>
      </c>
      <c r="B57" s="2" t="s">
        <v>15</v>
      </c>
      <c r="C57" s="2">
        <v>422.63</v>
      </c>
      <c r="D57" s="11">
        <v>50</v>
      </c>
      <c r="E57" s="2">
        <v>211.31</v>
      </c>
      <c r="F57" s="2" t="s">
        <v>20</v>
      </c>
    </row>
    <row r="58" spans="1:6" x14ac:dyDescent="0.25">
      <c r="A58" s="2" t="s">
        <v>74</v>
      </c>
      <c r="B58" s="2" t="s">
        <v>31</v>
      </c>
      <c r="C58" s="2">
        <v>286.37</v>
      </c>
      <c r="D58" s="11">
        <v>25</v>
      </c>
      <c r="E58" s="2">
        <v>214.78</v>
      </c>
      <c r="F58" s="2" t="s">
        <v>18</v>
      </c>
    </row>
    <row r="59" spans="1:6" x14ac:dyDescent="0.25">
      <c r="A59" s="2" t="s">
        <v>75</v>
      </c>
      <c r="B59" s="2" t="s">
        <v>52</v>
      </c>
      <c r="C59" s="2">
        <v>486.15</v>
      </c>
      <c r="D59" s="11">
        <v>5</v>
      </c>
      <c r="E59" s="2">
        <v>461.84</v>
      </c>
      <c r="F59" s="2" t="s">
        <v>8</v>
      </c>
    </row>
    <row r="60" spans="1:6" x14ac:dyDescent="0.25">
      <c r="A60" s="2" t="s">
        <v>76</v>
      </c>
      <c r="B60" s="2" t="s">
        <v>7</v>
      </c>
      <c r="C60" s="2">
        <v>44.29</v>
      </c>
      <c r="D60" s="11">
        <v>0</v>
      </c>
      <c r="E60" s="2">
        <v>44.29</v>
      </c>
      <c r="F60" s="2" t="s">
        <v>24</v>
      </c>
    </row>
    <row r="61" spans="1:6" x14ac:dyDescent="0.25">
      <c r="A61" s="2" t="s">
        <v>77</v>
      </c>
      <c r="B61" s="2" t="s">
        <v>22</v>
      </c>
      <c r="C61" s="2">
        <v>384.71</v>
      </c>
      <c r="D61" s="11">
        <v>10</v>
      </c>
      <c r="E61" s="2">
        <v>346.24</v>
      </c>
      <c r="F61" s="2" t="s">
        <v>20</v>
      </c>
    </row>
    <row r="62" spans="1:6" x14ac:dyDescent="0.25">
      <c r="A62" s="2" t="s">
        <v>78</v>
      </c>
      <c r="B62" s="2" t="s">
        <v>15</v>
      </c>
      <c r="C62" s="2">
        <v>498.37</v>
      </c>
      <c r="D62" s="11">
        <v>10</v>
      </c>
      <c r="E62" s="2">
        <v>448.53</v>
      </c>
      <c r="F62" s="2" t="s">
        <v>24</v>
      </c>
    </row>
    <row r="63" spans="1:6" x14ac:dyDescent="0.25">
      <c r="A63" s="2" t="s">
        <v>79</v>
      </c>
      <c r="B63" s="2" t="s">
        <v>52</v>
      </c>
      <c r="C63" s="2">
        <v>117.95</v>
      </c>
      <c r="D63" s="11">
        <v>15</v>
      </c>
      <c r="E63" s="2">
        <v>100.26</v>
      </c>
      <c r="F63" s="2" t="s">
        <v>24</v>
      </c>
    </row>
    <row r="64" spans="1:6" x14ac:dyDescent="0.25">
      <c r="A64" s="2" t="s">
        <v>80</v>
      </c>
      <c r="B64" s="2" t="s">
        <v>22</v>
      </c>
      <c r="C64" s="2">
        <v>294.66000000000003</v>
      </c>
      <c r="D64" s="11">
        <v>15</v>
      </c>
      <c r="E64" s="2">
        <v>250.46</v>
      </c>
      <c r="F64" s="2" t="s">
        <v>8</v>
      </c>
    </row>
    <row r="65" spans="1:6" x14ac:dyDescent="0.25">
      <c r="A65" s="2" t="s">
        <v>81</v>
      </c>
      <c r="B65" s="2" t="s">
        <v>52</v>
      </c>
      <c r="C65" s="2">
        <v>225.59</v>
      </c>
      <c r="D65" s="11">
        <v>25</v>
      </c>
      <c r="E65" s="2">
        <v>169.19</v>
      </c>
      <c r="F65" s="2" t="s">
        <v>8</v>
      </c>
    </row>
    <row r="66" spans="1:6" x14ac:dyDescent="0.25">
      <c r="A66" s="2" t="s">
        <v>101</v>
      </c>
      <c r="B66" s="2" t="s">
        <v>15</v>
      </c>
      <c r="C66" s="2">
        <v>411.1</v>
      </c>
      <c r="D66" s="11">
        <v>30</v>
      </c>
      <c r="E66" s="2">
        <v>287.77</v>
      </c>
      <c r="F66" s="2" t="s">
        <v>11</v>
      </c>
    </row>
    <row r="67" spans="1:6" x14ac:dyDescent="0.25">
      <c r="A67" s="2" t="s">
        <v>83</v>
      </c>
      <c r="B67" s="2" t="s">
        <v>13</v>
      </c>
      <c r="C67" s="2">
        <v>87.6</v>
      </c>
      <c r="D67" s="11">
        <v>25</v>
      </c>
      <c r="E67" s="2">
        <v>65.7</v>
      </c>
      <c r="F67" s="2" t="s">
        <v>20</v>
      </c>
    </row>
    <row r="68" spans="1:6" x14ac:dyDescent="0.25">
      <c r="A68" s="2" t="s">
        <v>84</v>
      </c>
      <c r="B68" s="2" t="s">
        <v>7</v>
      </c>
      <c r="C68" s="2">
        <v>474.63</v>
      </c>
      <c r="D68" s="11">
        <v>5</v>
      </c>
      <c r="E68" s="2">
        <v>450.9</v>
      </c>
      <c r="F68" s="2" t="s">
        <v>8</v>
      </c>
    </row>
    <row r="69" spans="1:6" x14ac:dyDescent="0.25">
      <c r="A69" s="2" t="s">
        <v>85</v>
      </c>
      <c r="B69" s="2" t="s">
        <v>22</v>
      </c>
      <c r="C69" s="2">
        <v>412.98</v>
      </c>
      <c r="D69" s="11">
        <v>20</v>
      </c>
      <c r="E69" s="2">
        <v>330.38</v>
      </c>
      <c r="F69" s="2" t="s">
        <v>18</v>
      </c>
    </row>
    <row r="70" spans="1:6" x14ac:dyDescent="0.25">
      <c r="A70" s="2" t="s">
        <v>86</v>
      </c>
      <c r="B70" s="2" t="s">
        <v>31</v>
      </c>
      <c r="C70" s="2">
        <v>479.52</v>
      </c>
      <c r="D70" s="11">
        <v>15</v>
      </c>
      <c r="E70" s="2">
        <v>407.59</v>
      </c>
      <c r="F70" s="2" t="s">
        <v>20</v>
      </c>
    </row>
    <row r="71" spans="1:6" x14ac:dyDescent="0.25">
      <c r="A71" s="2" t="s">
        <v>87</v>
      </c>
      <c r="B71" s="2" t="s">
        <v>7</v>
      </c>
      <c r="C71" s="2">
        <v>355.43</v>
      </c>
      <c r="D71" s="11">
        <v>25</v>
      </c>
      <c r="E71" s="2">
        <v>266.57</v>
      </c>
      <c r="F71" s="2" t="s">
        <v>20</v>
      </c>
    </row>
    <row r="72" spans="1:6" x14ac:dyDescent="0.25">
      <c r="A72" s="2" t="s">
        <v>88</v>
      </c>
      <c r="B72" s="2" t="s">
        <v>31</v>
      </c>
      <c r="C72" s="2">
        <v>277.14</v>
      </c>
      <c r="D72" s="11">
        <v>10</v>
      </c>
      <c r="E72" s="2">
        <v>249.43</v>
      </c>
      <c r="F72" s="2" t="s">
        <v>20</v>
      </c>
    </row>
    <row r="73" spans="1:6" x14ac:dyDescent="0.25">
      <c r="A73" s="2" t="s">
        <v>89</v>
      </c>
      <c r="B73" s="2" t="s">
        <v>10</v>
      </c>
      <c r="C73" s="2">
        <v>101.29</v>
      </c>
      <c r="D73" s="11">
        <v>15</v>
      </c>
      <c r="E73" s="2">
        <v>86.1</v>
      </c>
      <c r="F73" s="2" t="s">
        <v>20</v>
      </c>
    </row>
    <row r="74" spans="1:6" x14ac:dyDescent="0.25">
      <c r="A74" s="2" t="s">
        <v>90</v>
      </c>
      <c r="B74" s="2" t="s">
        <v>31</v>
      </c>
      <c r="C74" s="2">
        <v>181.69</v>
      </c>
      <c r="D74" s="11">
        <v>10</v>
      </c>
      <c r="E74" s="2">
        <v>163.52000000000001</v>
      </c>
      <c r="F74" s="2" t="s">
        <v>18</v>
      </c>
    </row>
    <row r="75" spans="1:6" x14ac:dyDescent="0.25">
      <c r="A75" s="2" t="s">
        <v>82</v>
      </c>
      <c r="B75" s="2" t="s">
        <v>15</v>
      </c>
      <c r="C75" s="2">
        <v>328.31</v>
      </c>
      <c r="D75" s="11">
        <v>10</v>
      </c>
      <c r="E75" s="2">
        <v>295.48</v>
      </c>
      <c r="F75" s="2" t="s">
        <v>24</v>
      </c>
    </row>
    <row r="76" spans="1:6" x14ac:dyDescent="0.25">
      <c r="A76" s="2" t="s">
        <v>92</v>
      </c>
      <c r="B76" s="2" t="s">
        <v>31</v>
      </c>
      <c r="C76" s="2">
        <v>268.14</v>
      </c>
      <c r="D76" s="11">
        <v>0</v>
      </c>
      <c r="E76" s="2">
        <v>268.14</v>
      </c>
      <c r="F76" s="2" t="s">
        <v>18</v>
      </c>
    </row>
    <row r="77" spans="1:6" x14ac:dyDescent="0.25">
      <c r="A77" s="2" t="s">
        <v>93</v>
      </c>
      <c r="B77" s="2" t="s">
        <v>7</v>
      </c>
      <c r="C77" s="2">
        <v>200.63</v>
      </c>
      <c r="D77" s="11">
        <v>5</v>
      </c>
      <c r="E77" s="2">
        <v>190.6</v>
      </c>
      <c r="F77" s="2" t="s">
        <v>11</v>
      </c>
    </row>
    <row r="78" spans="1:6" x14ac:dyDescent="0.25">
      <c r="A78" s="2" t="s">
        <v>94</v>
      </c>
      <c r="B78" s="2" t="s">
        <v>13</v>
      </c>
      <c r="C78" s="2">
        <v>392.26</v>
      </c>
      <c r="D78" s="11">
        <v>5</v>
      </c>
      <c r="E78" s="2">
        <v>372.65</v>
      </c>
      <c r="F78" s="2" t="s">
        <v>8</v>
      </c>
    </row>
    <row r="79" spans="1:6" x14ac:dyDescent="0.25">
      <c r="A79" s="2" t="s">
        <v>95</v>
      </c>
      <c r="B79" s="2" t="s">
        <v>22</v>
      </c>
      <c r="C79" s="2">
        <v>451.25</v>
      </c>
      <c r="D79" s="11">
        <v>30</v>
      </c>
      <c r="E79" s="2">
        <v>315.88</v>
      </c>
      <c r="F79" s="2" t="s">
        <v>8</v>
      </c>
    </row>
    <row r="80" spans="1:6" x14ac:dyDescent="0.25">
      <c r="A80" s="2" t="s">
        <v>96</v>
      </c>
      <c r="B80" s="2" t="s">
        <v>22</v>
      </c>
      <c r="C80" s="2">
        <v>153.13</v>
      </c>
      <c r="D80" s="11">
        <v>5</v>
      </c>
      <c r="E80" s="2">
        <v>145.47</v>
      </c>
      <c r="F80" s="2" t="s">
        <v>24</v>
      </c>
    </row>
    <row r="81" spans="1:6" x14ac:dyDescent="0.25">
      <c r="A81" s="2" t="s">
        <v>97</v>
      </c>
      <c r="B81" s="2" t="s">
        <v>7</v>
      </c>
      <c r="C81" s="2">
        <v>244.73</v>
      </c>
      <c r="D81" s="11">
        <v>50</v>
      </c>
      <c r="E81" s="2">
        <v>122.36</v>
      </c>
      <c r="F81" s="2" t="s">
        <v>20</v>
      </c>
    </row>
    <row r="82" spans="1:6" x14ac:dyDescent="0.25">
      <c r="A82" s="2" t="s">
        <v>98</v>
      </c>
      <c r="B82" s="2" t="s">
        <v>52</v>
      </c>
      <c r="C82" s="2">
        <v>204.33</v>
      </c>
      <c r="D82" s="11">
        <v>10</v>
      </c>
      <c r="E82" s="2">
        <v>183.9</v>
      </c>
      <c r="F82" s="2" t="s">
        <v>24</v>
      </c>
    </row>
    <row r="83" spans="1:6" x14ac:dyDescent="0.25">
      <c r="A83" s="2" t="s">
        <v>99</v>
      </c>
      <c r="B83" s="2" t="s">
        <v>22</v>
      </c>
      <c r="C83" s="2">
        <v>384.61</v>
      </c>
      <c r="D83" s="11">
        <v>0</v>
      </c>
      <c r="E83" s="2">
        <v>384.61</v>
      </c>
      <c r="F83" s="2" t="s">
        <v>20</v>
      </c>
    </row>
    <row r="84" spans="1:6" x14ac:dyDescent="0.25">
      <c r="A84" s="2" t="s">
        <v>25</v>
      </c>
      <c r="B84" s="2" t="s">
        <v>15</v>
      </c>
      <c r="C84" s="2">
        <v>403.4</v>
      </c>
      <c r="D84" s="11">
        <v>10</v>
      </c>
      <c r="E84" s="2">
        <v>363.06</v>
      </c>
      <c r="F84" s="2" t="s">
        <v>8</v>
      </c>
    </row>
    <row r="85" spans="1:6" x14ac:dyDescent="0.25">
      <c r="A85" s="2" t="s">
        <v>36</v>
      </c>
      <c r="B85" s="2" t="s">
        <v>15</v>
      </c>
      <c r="C85" s="2">
        <v>257.20999999999998</v>
      </c>
      <c r="D85" s="11">
        <v>5</v>
      </c>
      <c r="E85" s="2">
        <v>244.35</v>
      </c>
      <c r="F85" s="2" t="s">
        <v>20</v>
      </c>
    </row>
    <row r="86" spans="1:6" x14ac:dyDescent="0.25">
      <c r="A86" s="2" t="s">
        <v>14</v>
      </c>
      <c r="B86" s="2" t="s">
        <v>15</v>
      </c>
      <c r="C86" s="2">
        <v>245.98</v>
      </c>
      <c r="D86" s="11">
        <v>15</v>
      </c>
      <c r="E86" s="2">
        <v>209.08</v>
      </c>
      <c r="F86" s="2" t="s">
        <v>11</v>
      </c>
    </row>
    <row r="87" spans="1:6" x14ac:dyDescent="0.25">
      <c r="A87" s="2" t="s">
        <v>16</v>
      </c>
      <c r="B87" s="2" t="s">
        <v>15</v>
      </c>
      <c r="C87" s="2">
        <v>105.1</v>
      </c>
      <c r="D87" s="11">
        <v>25</v>
      </c>
      <c r="E87" s="2">
        <v>78.819999999999993</v>
      </c>
      <c r="F87" s="2" t="s">
        <v>8</v>
      </c>
    </row>
    <row r="88" spans="1:6" x14ac:dyDescent="0.25">
      <c r="A88" s="2" t="s">
        <v>26</v>
      </c>
      <c r="B88" s="2" t="s">
        <v>15</v>
      </c>
      <c r="C88" s="2">
        <v>334.47</v>
      </c>
      <c r="D88" s="11">
        <v>30</v>
      </c>
      <c r="E88" s="2">
        <v>234.13</v>
      </c>
      <c r="F88" s="2" t="s">
        <v>18</v>
      </c>
    </row>
    <row r="89" spans="1:6" x14ac:dyDescent="0.25">
      <c r="A89" s="2" t="s">
        <v>104</v>
      </c>
      <c r="B89" s="2" t="s">
        <v>15</v>
      </c>
      <c r="C89" s="2">
        <v>416.29</v>
      </c>
      <c r="D89" s="11">
        <v>25</v>
      </c>
      <c r="E89" s="2">
        <v>312.22000000000003</v>
      </c>
      <c r="F89" s="2" t="s">
        <v>20</v>
      </c>
    </row>
    <row r="90" spans="1:6" x14ac:dyDescent="0.25">
      <c r="A90" s="2" t="s">
        <v>106</v>
      </c>
      <c r="B90" s="2" t="s">
        <v>31</v>
      </c>
      <c r="C90" s="2">
        <v>332.89</v>
      </c>
      <c r="D90" s="11">
        <v>0</v>
      </c>
      <c r="E90" s="2">
        <v>332.89</v>
      </c>
      <c r="F90" s="2" t="s">
        <v>8</v>
      </c>
    </row>
    <row r="91" spans="1:6" x14ac:dyDescent="0.25">
      <c r="A91" s="2" t="s">
        <v>107</v>
      </c>
      <c r="B91" s="2" t="s">
        <v>52</v>
      </c>
      <c r="C91" s="2">
        <v>133.61000000000001</v>
      </c>
      <c r="D91" s="11">
        <v>10</v>
      </c>
      <c r="E91" s="2">
        <v>120.25</v>
      </c>
      <c r="F91" s="2" t="s">
        <v>11</v>
      </c>
    </row>
    <row r="92" spans="1:6" x14ac:dyDescent="0.25">
      <c r="A92" s="2" t="s">
        <v>108</v>
      </c>
      <c r="B92" s="2" t="s">
        <v>22</v>
      </c>
      <c r="C92" s="2">
        <v>261.33</v>
      </c>
      <c r="D92" s="11">
        <v>30</v>
      </c>
      <c r="E92" s="2">
        <v>182.93</v>
      </c>
      <c r="F92" s="2" t="s">
        <v>24</v>
      </c>
    </row>
    <row r="93" spans="1:6" x14ac:dyDescent="0.25">
      <c r="A93" s="2" t="s">
        <v>109</v>
      </c>
      <c r="B93" s="2" t="s">
        <v>31</v>
      </c>
      <c r="C93" s="2">
        <v>255.26</v>
      </c>
      <c r="D93" s="11">
        <v>25</v>
      </c>
      <c r="E93" s="2">
        <v>191.44</v>
      </c>
      <c r="F93" s="2" t="s">
        <v>8</v>
      </c>
    </row>
    <row r="94" spans="1:6" x14ac:dyDescent="0.25">
      <c r="A94" s="2" t="s">
        <v>110</v>
      </c>
      <c r="B94" s="2" t="s">
        <v>22</v>
      </c>
      <c r="C94" s="2">
        <v>203.54</v>
      </c>
      <c r="D94" s="11">
        <v>25</v>
      </c>
      <c r="E94" s="2">
        <v>152.66</v>
      </c>
      <c r="F94" s="2" t="s">
        <v>20</v>
      </c>
    </row>
    <row r="95" spans="1:6" x14ac:dyDescent="0.25">
      <c r="A95" s="2" t="s">
        <v>111</v>
      </c>
      <c r="B95" s="2" t="s">
        <v>31</v>
      </c>
      <c r="C95" s="2">
        <v>236.16</v>
      </c>
      <c r="D95" s="11">
        <v>15</v>
      </c>
      <c r="E95" s="2">
        <v>200.74</v>
      </c>
      <c r="F95" s="2" t="s">
        <v>8</v>
      </c>
    </row>
    <row r="96" spans="1:6" x14ac:dyDescent="0.25">
      <c r="A96" s="2" t="s">
        <v>112</v>
      </c>
      <c r="B96" s="2" t="s">
        <v>22</v>
      </c>
      <c r="C96" s="2">
        <v>319.55</v>
      </c>
      <c r="D96" s="11">
        <v>25</v>
      </c>
      <c r="E96" s="2">
        <v>239.66</v>
      </c>
      <c r="F96" s="2" t="s">
        <v>20</v>
      </c>
    </row>
    <row r="97" spans="1:6" x14ac:dyDescent="0.25">
      <c r="A97" s="2" t="s">
        <v>113</v>
      </c>
      <c r="B97" s="2" t="s">
        <v>22</v>
      </c>
      <c r="C97" s="2">
        <v>224.56</v>
      </c>
      <c r="D97" s="11">
        <v>50</v>
      </c>
      <c r="E97" s="2">
        <v>112.28</v>
      </c>
      <c r="F97" s="2" t="s">
        <v>11</v>
      </c>
    </row>
    <row r="98" spans="1:6" x14ac:dyDescent="0.25">
      <c r="A98" s="2" t="s">
        <v>114</v>
      </c>
      <c r="B98" s="2" t="s">
        <v>22</v>
      </c>
      <c r="C98" s="2">
        <v>96.27</v>
      </c>
      <c r="D98" s="11">
        <v>30</v>
      </c>
      <c r="E98" s="2">
        <v>67.39</v>
      </c>
      <c r="F98" s="2" t="s">
        <v>24</v>
      </c>
    </row>
    <row r="99" spans="1:6" x14ac:dyDescent="0.25">
      <c r="A99" s="2" t="s">
        <v>115</v>
      </c>
      <c r="B99" s="2" t="s">
        <v>13</v>
      </c>
      <c r="C99" s="2">
        <v>473.05</v>
      </c>
      <c r="D99" s="11">
        <v>50</v>
      </c>
      <c r="E99" s="2">
        <v>236.53</v>
      </c>
      <c r="F99" s="2" t="s">
        <v>8</v>
      </c>
    </row>
    <row r="100" spans="1:6" x14ac:dyDescent="0.25">
      <c r="A100" s="2" t="s">
        <v>116</v>
      </c>
      <c r="B100" s="2" t="s">
        <v>22</v>
      </c>
      <c r="C100" s="2">
        <v>412.56</v>
      </c>
      <c r="D100" s="11">
        <v>50</v>
      </c>
      <c r="E100" s="2">
        <v>206.28</v>
      </c>
      <c r="F100" s="2" t="s">
        <v>8</v>
      </c>
    </row>
    <row r="101" spans="1:6" x14ac:dyDescent="0.25">
      <c r="A101" s="2" t="s">
        <v>117</v>
      </c>
      <c r="B101" s="2" t="s">
        <v>31</v>
      </c>
      <c r="C101" s="2">
        <v>414.86</v>
      </c>
      <c r="D101" s="11">
        <v>50</v>
      </c>
      <c r="E101" s="2">
        <v>207.43</v>
      </c>
      <c r="F101" s="2" t="s">
        <v>8</v>
      </c>
    </row>
    <row r="102" spans="1:6" x14ac:dyDescent="0.25">
      <c r="A102" s="2" t="s">
        <v>118</v>
      </c>
      <c r="B102" s="2" t="s">
        <v>22</v>
      </c>
      <c r="C102" s="2">
        <v>87.2</v>
      </c>
      <c r="D102" s="11">
        <v>5</v>
      </c>
      <c r="E102" s="2">
        <v>82.84</v>
      </c>
      <c r="F102" s="2" t="s">
        <v>20</v>
      </c>
    </row>
  </sheetData>
  <mergeCells count="4">
    <mergeCell ref="H8:M8"/>
    <mergeCell ref="H10:M10"/>
    <mergeCell ref="I7:N7"/>
    <mergeCell ref="H6:M6"/>
  </mergeCells>
  <conditionalFormatting sqref="A1:F10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2" priority="4" operator="greaterThan">
      <formula>249.185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1" priority="8" operator="greaterThan">
      <formula>249.185</formula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0" priority="12" operator="greaterThan">
      <formula>249.185</formula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9" priority="16" operator="greaterThan">
      <formula>249.185</formula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7">
    <cfRule type="cellIs" priority="19" stopIfTrue="1" operator="greaterThan">
      <formula>$O$10</formula>
    </cfRule>
    <cfRule type="cellIs" priority="20" stopIfTrue="1" operator="greaterThan">
      <formula>$O$10</formula>
    </cfRule>
    <cfRule type="cellIs" priority="21" stopIfTrue="1" operator="greaterThan">
      <formula>$O$10</formula>
    </cfRule>
  </conditionalFormatting>
  <conditionalFormatting sqref="J5">
    <cfRule type="cellIs" dxfId="5" priority="2" operator="lessThan">
      <formula>$H$6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2"/>
  <sheetViews>
    <sheetView workbookViewId="0">
      <selection activeCell="K13" sqref="K13"/>
    </sheetView>
  </sheetViews>
  <sheetFormatPr defaultRowHeight="15" x14ac:dyDescent="0.25"/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15" x14ac:dyDescent="0.25">
      <c r="A2" s="2" t="s">
        <v>6</v>
      </c>
      <c r="B2" s="2" t="s">
        <v>7</v>
      </c>
      <c r="C2" s="2">
        <v>232.79</v>
      </c>
      <c r="D2" s="2">
        <v>20</v>
      </c>
      <c r="E2" s="2">
        <v>186.23</v>
      </c>
      <c r="F2" s="2" t="s">
        <v>8</v>
      </c>
    </row>
    <row r="3" spans="1:15" x14ac:dyDescent="0.25">
      <c r="A3" s="2" t="s">
        <v>9</v>
      </c>
      <c r="B3" s="2" t="s">
        <v>10</v>
      </c>
      <c r="C3" s="2">
        <v>393.77</v>
      </c>
      <c r="D3" s="2">
        <v>15</v>
      </c>
      <c r="E3" s="2">
        <v>334.7</v>
      </c>
      <c r="F3" s="2" t="s">
        <v>11</v>
      </c>
    </row>
    <row r="4" spans="1:15" x14ac:dyDescent="0.25">
      <c r="A4" s="2" t="s">
        <v>12</v>
      </c>
      <c r="B4" s="2" t="s">
        <v>13</v>
      </c>
      <c r="C4" s="2">
        <v>351.87</v>
      </c>
      <c r="D4" s="2">
        <v>0</v>
      </c>
      <c r="E4" s="2">
        <v>351.87</v>
      </c>
      <c r="F4" s="2" t="s">
        <v>8</v>
      </c>
    </row>
    <row r="5" spans="1:15" x14ac:dyDescent="0.25">
      <c r="A5" s="2" t="s">
        <v>14</v>
      </c>
      <c r="B5" s="2" t="s">
        <v>15</v>
      </c>
      <c r="C5" s="2">
        <v>245.98</v>
      </c>
      <c r="D5" s="2">
        <v>15</v>
      </c>
      <c r="E5" s="2">
        <v>209.08</v>
      </c>
      <c r="F5" s="2" t="s">
        <v>11</v>
      </c>
    </row>
    <row r="6" spans="1:15" x14ac:dyDescent="0.25">
      <c r="A6" s="2" t="s">
        <v>16</v>
      </c>
      <c r="B6" s="2" t="s">
        <v>15</v>
      </c>
      <c r="C6" s="2">
        <v>105.1</v>
      </c>
      <c r="D6" s="2">
        <v>25</v>
      </c>
      <c r="E6" s="2">
        <v>78.819999999999993</v>
      </c>
      <c r="F6" s="2" t="s">
        <v>8</v>
      </c>
      <c r="H6" s="9" t="s">
        <v>123</v>
      </c>
      <c r="I6" s="9"/>
      <c r="J6" s="9"/>
      <c r="K6" s="9"/>
      <c r="L6" s="9"/>
      <c r="M6" s="9"/>
      <c r="O6">
        <f>COUNTIF(F:F,F3)</f>
        <v>18</v>
      </c>
    </row>
    <row r="7" spans="1:15" x14ac:dyDescent="0.25">
      <c r="A7" s="2" t="s">
        <v>17</v>
      </c>
      <c r="B7" s="2" t="s">
        <v>7</v>
      </c>
      <c r="C7" s="2">
        <v>95.41</v>
      </c>
      <c r="D7" s="2">
        <v>15</v>
      </c>
      <c r="E7" s="2">
        <v>81.099999999999994</v>
      </c>
      <c r="F7" s="2" t="s">
        <v>18</v>
      </c>
      <c r="I7" s="9"/>
      <c r="J7" s="9"/>
      <c r="K7" s="9"/>
      <c r="L7" s="9"/>
      <c r="M7" s="9"/>
      <c r="N7" s="9"/>
    </row>
    <row r="8" spans="1:15" x14ac:dyDescent="0.25">
      <c r="A8" s="2" t="s">
        <v>19</v>
      </c>
      <c r="B8" s="2" t="s">
        <v>7</v>
      </c>
      <c r="C8" s="2">
        <v>490.77</v>
      </c>
      <c r="D8" s="2">
        <v>10</v>
      </c>
      <c r="E8" s="2">
        <v>441.69</v>
      </c>
      <c r="F8" s="2" t="s">
        <v>20</v>
      </c>
      <c r="H8" s="9" t="s">
        <v>124</v>
      </c>
      <c r="I8" s="9"/>
      <c r="J8" s="9"/>
      <c r="K8" s="9"/>
      <c r="L8" s="9"/>
      <c r="M8" s="9"/>
      <c r="O8">
        <f>SUM(E:E)</f>
        <v>23077.149999999994</v>
      </c>
    </row>
    <row r="9" spans="1:15" x14ac:dyDescent="0.25">
      <c r="A9" s="2" t="s">
        <v>21</v>
      </c>
      <c r="B9" s="2" t="s">
        <v>22</v>
      </c>
      <c r="C9" s="2">
        <v>188.07</v>
      </c>
      <c r="D9" s="2">
        <v>50</v>
      </c>
      <c r="E9" s="2">
        <v>94.03</v>
      </c>
      <c r="F9" s="2" t="s">
        <v>18</v>
      </c>
    </row>
    <row r="10" spans="1:15" x14ac:dyDescent="0.25">
      <c r="A10" s="2" t="s">
        <v>23</v>
      </c>
      <c r="B10" s="2" t="s">
        <v>13</v>
      </c>
      <c r="C10" s="2">
        <v>319.29000000000002</v>
      </c>
      <c r="D10" s="2">
        <v>5</v>
      </c>
      <c r="E10" s="2">
        <v>303.33</v>
      </c>
      <c r="F10" s="2" t="s">
        <v>24</v>
      </c>
      <c r="H10" s="9" t="s">
        <v>125</v>
      </c>
      <c r="I10" s="9"/>
      <c r="J10" s="9"/>
      <c r="K10" s="9"/>
      <c r="L10" s="9"/>
      <c r="M10" s="9"/>
    </row>
    <row r="11" spans="1:15" x14ac:dyDescent="0.25">
      <c r="A11" s="2" t="s">
        <v>25</v>
      </c>
      <c r="B11" s="2" t="s">
        <v>15</v>
      </c>
      <c r="C11" s="2">
        <v>403.4</v>
      </c>
      <c r="D11" s="2">
        <v>10</v>
      </c>
      <c r="E11" s="2">
        <v>363.06</v>
      </c>
      <c r="F11" s="2" t="s">
        <v>8</v>
      </c>
    </row>
    <row r="12" spans="1:15" x14ac:dyDescent="0.25">
      <c r="A12" s="2" t="s">
        <v>26</v>
      </c>
      <c r="B12" s="2" t="s">
        <v>15</v>
      </c>
      <c r="C12" s="2">
        <v>334.47</v>
      </c>
      <c r="D12" s="2">
        <v>30</v>
      </c>
      <c r="E12" s="2">
        <v>234.13</v>
      </c>
      <c r="F12" s="2" t="s">
        <v>18</v>
      </c>
    </row>
    <row r="13" spans="1:15" x14ac:dyDescent="0.25">
      <c r="A13" s="2" t="s">
        <v>27</v>
      </c>
      <c r="B13" s="2" t="s">
        <v>13</v>
      </c>
      <c r="C13" s="2">
        <v>305.93</v>
      </c>
      <c r="D13" s="2">
        <v>10</v>
      </c>
      <c r="E13" s="2">
        <v>275.33999999999997</v>
      </c>
      <c r="F13" s="2" t="s">
        <v>11</v>
      </c>
    </row>
    <row r="14" spans="1:15" x14ac:dyDescent="0.25">
      <c r="A14" s="2" t="s">
        <v>28</v>
      </c>
      <c r="B14" s="2" t="s">
        <v>13</v>
      </c>
      <c r="C14" s="2">
        <v>274.11</v>
      </c>
      <c r="D14" s="2">
        <v>15</v>
      </c>
      <c r="E14" s="2">
        <v>232.99</v>
      </c>
      <c r="F14" s="2" t="s">
        <v>24</v>
      </c>
    </row>
    <row r="15" spans="1:15" x14ac:dyDescent="0.25">
      <c r="A15" s="2" t="s">
        <v>29</v>
      </c>
      <c r="B15" s="2" t="s">
        <v>13</v>
      </c>
      <c r="C15" s="2">
        <v>215.44</v>
      </c>
      <c r="D15" s="2">
        <v>50</v>
      </c>
      <c r="E15" s="2">
        <v>107.72</v>
      </c>
      <c r="F15" s="2" t="s">
        <v>20</v>
      </c>
    </row>
    <row r="16" spans="1:15" x14ac:dyDescent="0.25">
      <c r="A16" s="2" t="s">
        <v>30</v>
      </c>
      <c r="B16" s="2" t="s">
        <v>31</v>
      </c>
      <c r="C16" s="2">
        <v>309.67</v>
      </c>
      <c r="D16" s="2">
        <v>25</v>
      </c>
      <c r="E16" s="2">
        <v>232.25</v>
      </c>
      <c r="F16" s="2" t="s">
        <v>20</v>
      </c>
    </row>
    <row r="17" spans="1:6" x14ac:dyDescent="0.25">
      <c r="A17" s="2" t="s">
        <v>32</v>
      </c>
      <c r="B17" s="2" t="s">
        <v>7</v>
      </c>
      <c r="C17" s="2">
        <v>40.869999999999997</v>
      </c>
      <c r="D17" s="2">
        <v>15</v>
      </c>
      <c r="E17" s="2">
        <v>34.74</v>
      </c>
      <c r="F17" s="2" t="s">
        <v>8</v>
      </c>
    </row>
    <row r="18" spans="1:6" x14ac:dyDescent="0.25">
      <c r="A18" s="2" t="s">
        <v>33</v>
      </c>
      <c r="B18" s="2" t="s">
        <v>7</v>
      </c>
      <c r="C18" s="2">
        <v>90.2</v>
      </c>
      <c r="D18" s="2">
        <v>10</v>
      </c>
      <c r="E18" s="2">
        <v>81.180000000000007</v>
      </c>
      <c r="F18" s="2" t="s">
        <v>18</v>
      </c>
    </row>
    <row r="19" spans="1:6" x14ac:dyDescent="0.25">
      <c r="A19" s="2" t="s">
        <v>34</v>
      </c>
      <c r="B19" s="2" t="s">
        <v>7</v>
      </c>
      <c r="C19" s="2">
        <v>92.92</v>
      </c>
      <c r="D19" s="2">
        <v>10</v>
      </c>
      <c r="E19" s="2">
        <v>83.63</v>
      </c>
      <c r="F19" s="2" t="s">
        <v>24</v>
      </c>
    </row>
    <row r="20" spans="1:6" x14ac:dyDescent="0.25">
      <c r="A20" s="2" t="s">
        <v>35</v>
      </c>
      <c r="B20" s="2" t="s">
        <v>15</v>
      </c>
      <c r="C20" s="2">
        <v>388.1</v>
      </c>
      <c r="D20" s="2">
        <v>25</v>
      </c>
      <c r="E20" s="2">
        <v>291.08</v>
      </c>
      <c r="F20" s="2" t="s">
        <v>11</v>
      </c>
    </row>
    <row r="21" spans="1:6" x14ac:dyDescent="0.25">
      <c r="A21" s="2" t="s">
        <v>36</v>
      </c>
      <c r="B21" s="2" t="s">
        <v>15</v>
      </c>
      <c r="C21" s="2">
        <v>257.20999999999998</v>
      </c>
      <c r="D21" s="2">
        <v>5</v>
      </c>
      <c r="E21" s="2">
        <v>244.35</v>
      </c>
      <c r="F21" s="2" t="s">
        <v>20</v>
      </c>
    </row>
    <row r="22" spans="1:6" x14ac:dyDescent="0.25">
      <c r="A22" s="2" t="s">
        <v>37</v>
      </c>
      <c r="B22" s="2" t="s">
        <v>31</v>
      </c>
      <c r="C22" s="2">
        <v>135.62</v>
      </c>
      <c r="D22" s="2">
        <v>30</v>
      </c>
      <c r="E22" s="2">
        <v>94.93</v>
      </c>
      <c r="F22" s="2" t="s">
        <v>20</v>
      </c>
    </row>
    <row r="23" spans="1:6" x14ac:dyDescent="0.25">
      <c r="A23" s="2" t="s">
        <v>38</v>
      </c>
      <c r="B23" s="2" t="s">
        <v>10</v>
      </c>
      <c r="C23" s="2">
        <v>236.7</v>
      </c>
      <c r="D23" s="2">
        <v>0</v>
      </c>
      <c r="E23" s="2">
        <v>236.7</v>
      </c>
      <c r="F23" s="2" t="s">
        <v>11</v>
      </c>
    </row>
    <row r="24" spans="1:6" x14ac:dyDescent="0.25">
      <c r="A24" s="2" t="s">
        <v>39</v>
      </c>
      <c r="B24" s="2" t="s">
        <v>13</v>
      </c>
      <c r="C24" s="2">
        <v>460.89</v>
      </c>
      <c r="D24" s="2">
        <v>10</v>
      </c>
      <c r="E24" s="2">
        <v>414.8</v>
      </c>
      <c r="F24" s="2" t="s">
        <v>18</v>
      </c>
    </row>
    <row r="25" spans="1:6" x14ac:dyDescent="0.25">
      <c r="A25" s="2" t="s">
        <v>40</v>
      </c>
      <c r="B25" s="2" t="s">
        <v>10</v>
      </c>
      <c r="C25" s="2">
        <v>470.33</v>
      </c>
      <c r="D25" s="2">
        <v>0</v>
      </c>
      <c r="E25" s="2">
        <v>470.33</v>
      </c>
      <c r="F25" s="2" t="s">
        <v>24</v>
      </c>
    </row>
    <row r="26" spans="1:6" x14ac:dyDescent="0.25">
      <c r="A26" s="2" t="s">
        <v>41</v>
      </c>
      <c r="B26" s="2" t="s">
        <v>15</v>
      </c>
      <c r="C26" s="2">
        <v>62.48</v>
      </c>
      <c r="D26" s="2">
        <v>20</v>
      </c>
      <c r="E26" s="2">
        <v>49.98</v>
      </c>
      <c r="F26" s="2" t="s">
        <v>20</v>
      </c>
    </row>
    <row r="27" spans="1:6" x14ac:dyDescent="0.25">
      <c r="A27" s="2" t="s">
        <v>42</v>
      </c>
      <c r="B27" s="2" t="s">
        <v>13</v>
      </c>
      <c r="C27" s="2">
        <v>203.43</v>
      </c>
      <c r="D27" s="2">
        <v>5</v>
      </c>
      <c r="E27" s="2">
        <v>193.26</v>
      </c>
      <c r="F27" s="2" t="s">
        <v>18</v>
      </c>
    </row>
    <row r="28" spans="1:6" x14ac:dyDescent="0.25">
      <c r="A28" s="2" t="s">
        <v>43</v>
      </c>
      <c r="B28" s="2" t="s">
        <v>31</v>
      </c>
      <c r="C28" s="2">
        <v>268.42</v>
      </c>
      <c r="D28" s="2">
        <v>5</v>
      </c>
      <c r="E28" s="2">
        <v>255</v>
      </c>
      <c r="F28" s="2" t="s">
        <v>24</v>
      </c>
    </row>
    <row r="29" spans="1:6" x14ac:dyDescent="0.25">
      <c r="A29" s="2" t="s">
        <v>44</v>
      </c>
      <c r="B29" s="2" t="s">
        <v>7</v>
      </c>
      <c r="C29" s="2">
        <v>383.58</v>
      </c>
      <c r="D29" s="2">
        <v>10</v>
      </c>
      <c r="E29" s="2">
        <v>345.22</v>
      </c>
      <c r="F29" s="2" t="s">
        <v>20</v>
      </c>
    </row>
    <row r="30" spans="1:6" x14ac:dyDescent="0.25">
      <c r="A30" s="2" t="s">
        <v>45</v>
      </c>
      <c r="B30" s="2" t="s">
        <v>31</v>
      </c>
      <c r="C30" s="2">
        <v>422.02</v>
      </c>
      <c r="D30" s="2">
        <v>30</v>
      </c>
      <c r="E30" s="2">
        <v>295.41000000000003</v>
      </c>
      <c r="F30" s="2" t="s">
        <v>18</v>
      </c>
    </row>
    <row r="31" spans="1:6" x14ac:dyDescent="0.25">
      <c r="A31" s="2" t="s">
        <v>46</v>
      </c>
      <c r="B31" s="2" t="s">
        <v>10</v>
      </c>
      <c r="C31" s="2">
        <v>368.74</v>
      </c>
      <c r="D31" s="2">
        <v>5</v>
      </c>
      <c r="E31" s="2">
        <v>350.3</v>
      </c>
      <c r="F31" s="2" t="s">
        <v>20</v>
      </c>
    </row>
    <row r="32" spans="1:6" x14ac:dyDescent="0.25">
      <c r="A32" s="2" t="s">
        <v>47</v>
      </c>
      <c r="B32" s="2" t="s">
        <v>10</v>
      </c>
      <c r="C32" s="2">
        <v>458.8</v>
      </c>
      <c r="D32" s="2">
        <v>50</v>
      </c>
      <c r="E32" s="2">
        <v>229.4</v>
      </c>
      <c r="F32" s="2" t="s">
        <v>8</v>
      </c>
    </row>
    <row r="33" spans="1:6" x14ac:dyDescent="0.25">
      <c r="A33" s="2" t="s">
        <v>48</v>
      </c>
      <c r="B33" s="2" t="s">
        <v>13</v>
      </c>
      <c r="C33" s="2">
        <v>430.43</v>
      </c>
      <c r="D33" s="2">
        <v>0</v>
      </c>
      <c r="E33" s="2">
        <v>430.43</v>
      </c>
      <c r="F33" s="2" t="s">
        <v>20</v>
      </c>
    </row>
    <row r="34" spans="1:6" x14ac:dyDescent="0.25">
      <c r="A34" s="2" t="s">
        <v>49</v>
      </c>
      <c r="B34" s="2" t="s">
        <v>10</v>
      </c>
      <c r="C34" s="2">
        <v>266.2</v>
      </c>
      <c r="D34" s="2">
        <v>0</v>
      </c>
      <c r="E34" s="2">
        <v>266.2</v>
      </c>
      <c r="F34" s="2" t="s">
        <v>20</v>
      </c>
    </row>
    <row r="35" spans="1:6" x14ac:dyDescent="0.25">
      <c r="A35" s="2" t="s">
        <v>50</v>
      </c>
      <c r="B35" s="2" t="s">
        <v>22</v>
      </c>
      <c r="C35" s="2">
        <v>34.130000000000003</v>
      </c>
      <c r="D35" s="2">
        <v>50</v>
      </c>
      <c r="E35" s="2">
        <v>17.07</v>
      </c>
      <c r="F35" s="2" t="s">
        <v>11</v>
      </c>
    </row>
    <row r="36" spans="1:6" x14ac:dyDescent="0.25">
      <c r="A36" s="2" t="s">
        <v>51</v>
      </c>
      <c r="B36" s="2" t="s">
        <v>52</v>
      </c>
      <c r="C36" s="2">
        <v>67.36</v>
      </c>
      <c r="D36" s="2">
        <v>25</v>
      </c>
      <c r="E36" s="2">
        <v>50.52</v>
      </c>
      <c r="F36" s="2" t="s">
        <v>8</v>
      </c>
    </row>
    <row r="37" spans="1:6" x14ac:dyDescent="0.25">
      <c r="A37" s="2" t="s">
        <v>53</v>
      </c>
      <c r="B37" s="2" t="s">
        <v>31</v>
      </c>
      <c r="C37" s="2">
        <v>368.25</v>
      </c>
      <c r="D37" s="2">
        <v>20</v>
      </c>
      <c r="E37" s="2">
        <v>294.60000000000002</v>
      </c>
      <c r="F37" s="2" t="s">
        <v>24</v>
      </c>
    </row>
    <row r="38" spans="1:6" x14ac:dyDescent="0.25">
      <c r="A38" s="2" t="s">
        <v>54</v>
      </c>
      <c r="B38" s="2" t="s">
        <v>52</v>
      </c>
      <c r="C38" s="2">
        <v>274.64999999999998</v>
      </c>
      <c r="D38" s="2">
        <v>20</v>
      </c>
      <c r="E38" s="2">
        <v>219.72</v>
      </c>
      <c r="F38" s="2" t="s">
        <v>18</v>
      </c>
    </row>
    <row r="39" spans="1:6" x14ac:dyDescent="0.25">
      <c r="A39" s="2" t="s">
        <v>55</v>
      </c>
      <c r="B39" s="2" t="s">
        <v>22</v>
      </c>
      <c r="C39" s="2">
        <v>369.15</v>
      </c>
      <c r="D39" s="2">
        <v>0</v>
      </c>
      <c r="E39" s="2">
        <v>369.15</v>
      </c>
      <c r="F39" s="2" t="s">
        <v>24</v>
      </c>
    </row>
    <row r="40" spans="1:6" x14ac:dyDescent="0.25">
      <c r="A40" s="2" t="s">
        <v>56</v>
      </c>
      <c r="B40" s="2" t="s">
        <v>7</v>
      </c>
      <c r="C40" s="2">
        <v>84.26</v>
      </c>
      <c r="D40" s="2">
        <v>5</v>
      </c>
      <c r="E40" s="2">
        <v>80.05</v>
      </c>
      <c r="F40" s="2" t="s">
        <v>11</v>
      </c>
    </row>
    <row r="41" spans="1:6" x14ac:dyDescent="0.25">
      <c r="A41" s="2" t="s">
        <v>57</v>
      </c>
      <c r="B41" s="2" t="s">
        <v>31</v>
      </c>
      <c r="C41" s="2">
        <v>255.74</v>
      </c>
      <c r="D41" s="2">
        <v>25</v>
      </c>
      <c r="E41" s="2">
        <v>191.81</v>
      </c>
      <c r="F41" s="2" t="s">
        <v>20</v>
      </c>
    </row>
    <row r="42" spans="1:6" x14ac:dyDescent="0.25">
      <c r="A42" s="2" t="s">
        <v>58</v>
      </c>
      <c r="B42" s="2" t="s">
        <v>52</v>
      </c>
      <c r="C42" s="2">
        <v>440.74</v>
      </c>
      <c r="D42" s="2">
        <v>30</v>
      </c>
      <c r="E42" s="2">
        <v>308.52</v>
      </c>
      <c r="F42" s="2" t="s">
        <v>11</v>
      </c>
    </row>
    <row r="43" spans="1:6" x14ac:dyDescent="0.25">
      <c r="A43" s="2" t="s">
        <v>59</v>
      </c>
      <c r="B43" s="2" t="s">
        <v>10</v>
      </c>
      <c r="C43" s="2">
        <v>199.88</v>
      </c>
      <c r="D43" s="2">
        <v>10</v>
      </c>
      <c r="E43" s="2">
        <v>179.89</v>
      </c>
      <c r="F43" s="2" t="s">
        <v>8</v>
      </c>
    </row>
    <row r="44" spans="1:6" x14ac:dyDescent="0.25">
      <c r="A44" s="2" t="s">
        <v>60</v>
      </c>
      <c r="B44" s="2" t="s">
        <v>52</v>
      </c>
      <c r="C44" s="2">
        <v>317.98</v>
      </c>
      <c r="D44" s="2">
        <v>5</v>
      </c>
      <c r="E44" s="2">
        <v>302.08</v>
      </c>
      <c r="F44" s="2" t="s">
        <v>24</v>
      </c>
    </row>
    <row r="45" spans="1:6" x14ac:dyDescent="0.25">
      <c r="A45" s="2" t="s">
        <v>61</v>
      </c>
      <c r="B45" s="2" t="s">
        <v>52</v>
      </c>
      <c r="C45" s="2">
        <v>439.4</v>
      </c>
      <c r="D45" s="2">
        <v>10</v>
      </c>
      <c r="E45" s="2">
        <v>395.46</v>
      </c>
      <c r="F45" s="2" t="s">
        <v>11</v>
      </c>
    </row>
    <row r="46" spans="1:6" x14ac:dyDescent="0.25">
      <c r="A46" s="2" t="s">
        <v>62</v>
      </c>
      <c r="B46" s="2" t="s">
        <v>15</v>
      </c>
      <c r="C46" s="2">
        <v>133.33000000000001</v>
      </c>
      <c r="D46" s="2">
        <v>5</v>
      </c>
      <c r="E46" s="2">
        <v>126.66</v>
      </c>
      <c r="F46" s="2" t="s">
        <v>24</v>
      </c>
    </row>
    <row r="47" spans="1:6" x14ac:dyDescent="0.25">
      <c r="A47" s="2" t="s">
        <v>63</v>
      </c>
      <c r="B47" s="2" t="s">
        <v>22</v>
      </c>
      <c r="C47" s="2">
        <v>143.68</v>
      </c>
      <c r="D47" s="2">
        <v>10</v>
      </c>
      <c r="E47" s="2">
        <v>129.31</v>
      </c>
      <c r="F47" s="2" t="s">
        <v>20</v>
      </c>
    </row>
    <row r="48" spans="1:6" x14ac:dyDescent="0.25">
      <c r="A48" s="2" t="s">
        <v>64</v>
      </c>
      <c r="B48" s="2" t="s">
        <v>10</v>
      </c>
      <c r="C48" s="2">
        <v>209.41</v>
      </c>
      <c r="D48" s="2">
        <v>50</v>
      </c>
      <c r="E48" s="2">
        <v>104.7</v>
      </c>
      <c r="F48" s="2" t="s">
        <v>8</v>
      </c>
    </row>
    <row r="49" spans="1:6" x14ac:dyDescent="0.25">
      <c r="A49" s="2" t="s">
        <v>65</v>
      </c>
      <c r="B49" s="2" t="s">
        <v>13</v>
      </c>
      <c r="C49" s="2">
        <v>110.73</v>
      </c>
      <c r="D49" s="2">
        <v>30</v>
      </c>
      <c r="E49" s="2">
        <v>77.510000000000005</v>
      </c>
      <c r="F49" s="2" t="s">
        <v>11</v>
      </c>
    </row>
    <row r="50" spans="1:6" x14ac:dyDescent="0.25">
      <c r="A50" s="2" t="s">
        <v>66</v>
      </c>
      <c r="B50" s="2" t="s">
        <v>15</v>
      </c>
      <c r="C50" s="2">
        <v>432.1</v>
      </c>
      <c r="D50" s="2">
        <v>5</v>
      </c>
      <c r="E50" s="2">
        <v>410.5</v>
      </c>
      <c r="F50" s="2" t="s">
        <v>8</v>
      </c>
    </row>
    <row r="51" spans="1:6" x14ac:dyDescent="0.25">
      <c r="A51" s="2" t="s">
        <v>67</v>
      </c>
      <c r="B51" s="2" t="s">
        <v>31</v>
      </c>
      <c r="C51" s="2">
        <v>211.67</v>
      </c>
      <c r="D51" s="2">
        <v>50</v>
      </c>
      <c r="E51" s="2">
        <v>105.83</v>
      </c>
      <c r="F51" s="2" t="s">
        <v>8</v>
      </c>
    </row>
    <row r="52" spans="1:6" x14ac:dyDescent="0.25">
      <c r="A52" s="2" t="s">
        <v>68</v>
      </c>
      <c r="B52" s="2" t="s">
        <v>13</v>
      </c>
      <c r="C52" s="2">
        <v>132.47999999999999</v>
      </c>
      <c r="D52" s="2">
        <v>20</v>
      </c>
      <c r="E52" s="2">
        <v>105.98</v>
      </c>
      <c r="F52" s="2" t="s">
        <v>20</v>
      </c>
    </row>
    <row r="53" spans="1:6" x14ac:dyDescent="0.25">
      <c r="A53" s="2" t="s">
        <v>69</v>
      </c>
      <c r="B53" s="2" t="s">
        <v>7</v>
      </c>
      <c r="C53" s="2">
        <v>74.67</v>
      </c>
      <c r="D53" s="2">
        <v>20</v>
      </c>
      <c r="E53" s="2">
        <v>59.74</v>
      </c>
      <c r="F53" s="2" t="s">
        <v>11</v>
      </c>
    </row>
    <row r="54" spans="1:6" x14ac:dyDescent="0.25">
      <c r="A54" s="2" t="s">
        <v>70</v>
      </c>
      <c r="B54" s="2" t="s">
        <v>31</v>
      </c>
      <c r="C54" s="2">
        <v>439.81</v>
      </c>
      <c r="D54" s="2">
        <v>15</v>
      </c>
      <c r="E54" s="2">
        <v>373.84</v>
      </c>
      <c r="F54" s="2" t="s">
        <v>8</v>
      </c>
    </row>
    <row r="55" spans="1:6" x14ac:dyDescent="0.25">
      <c r="A55" s="2" t="s">
        <v>71</v>
      </c>
      <c r="B55" s="2" t="s">
        <v>10</v>
      </c>
      <c r="C55" s="2">
        <v>293.27999999999997</v>
      </c>
      <c r="D55" s="2">
        <v>30</v>
      </c>
      <c r="E55" s="2">
        <v>205.3</v>
      </c>
      <c r="F55" s="2" t="s">
        <v>8</v>
      </c>
    </row>
    <row r="56" spans="1:6" x14ac:dyDescent="0.25">
      <c r="A56" s="2" t="s">
        <v>72</v>
      </c>
      <c r="B56" s="2" t="s">
        <v>52</v>
      </c>
      <c r="C56" s="2">
        <v>419.54</v>
      </c>
      <c r="D56" s="2">
        <v>10</v>
      </c>
      <c r="E56" s="2">
        <v>377.59</v>
      </c>
      <c r="F56" s="2" t="s">
        <v>11</v>
      </c>
    </row>
    <row r="57" spans="1:6" x14ac:dyDescent="0.25">
      <c r="A57" s="2" t="s">
        <v>73</v>
      </c>
      <c r="B57" s="2" t="s">
        <v>15</v>
      </c>
      <c r="C57" s="2">
        <v>483.48</v>
      </c>
      <c r="D57" s="2">
        <v>15</v>
      </c>
      <c r="E57" s="2">
        <v>410.96</v>
      </c>
      <c r="F57" s="2" t="s">
        <v>11</v>
      </c>
    </row>
    <row r="58" spans="1:6" x14ac:dyDescent="0.25">
      <c r="A58" s="2" t="s">
        <v>74</v>
      </c>
      <c r="B58" s="2" t="s">
        <v>31</v>
      </c>
      <c r="C58" s="2">
        <v>286.37</v>
      </c>
      <c r="D58" s="2">
        <v>25</v>
      </c>
      <c r="E58" s="2">
        <v>214.78</v>
      </c>
      <c r="F58" s="2" t="s">
        <v>18</v>
      </c>
    </row>
    <row r="59" spans="1:6" x14ac:dyDescent="0.25">
      <c r="A59" s="2" t="s">
        <v>75</v>
      </c>
      <c r="B59" s="2" t="s">
        <v>52</v>
      </c>
      <c r="C59" s="2">
        <v>486.15</v>
      </c>
      <c r="D59" s="2">
        <v>5</v>
      </c>
      <c r="E59" s="2">
        <v>461.84</v>
      </c>
      <c r="F59" s="2" t="s">
        <v>8</v>
      </c>
    </row>
    <row r="60" spans="1:6" x14ac:dyDescent="0.25">
      <c r="A60" s="2" t="s">
        <v>76</v>
      </c>
      <c r="B60" s="2" t="s">
        <v>7</v>
      </c>
      <c r="C60" s="2">
        <v>44.29</v>
      </c>
      <c r="D60" s="2">
        <v>0</v>
      </c>
      <c r="E60" s="2">
        <v>44.29</v>
      </c>
      <c r="F60" s="2" t="s">
        <v>24</v>
      </c>
    </row>
    <row r="61" spans="1:6" x14ac:dyDescent="0.25">
      <c r="A61" s="2" t="s">
        <v>77</v>
      </c>
      <c r="B61" s="2" t="s">
        <v>22</v>
      </c>
      <c r="C61" s="2">
        <v>384.71</v>
      </c>
      <c r="D61" s="2">
        <v>10</v>
      </c>
      <c r="E61" s="2">
        <v>346.24</v>
      </c>
      <c r="F61" s="2" t="s">
        <v>20</v>
      </c>
    </row>
    <row r="62" spans="1:6" x14ac:dyDescent="0.25">
      <c r="A62" s="2" t="s">
        <v>78</v>
      </c>
      <c r="B62" s="2" t="s">
        <v>15</v>
      </c>
      <c r="C62" s="2">
        <v>498.37</v>
      </c>
      <c r="D62" s="2">
        <v>10</v>
      </c>
      <c r="E62" s="2">
        <v>448.53</v>
      </c>
      <c r="F62" s="2" t="s">
        <v>24</v>
      </c>
    </row>
    <row r="63" spans="1:6" x14ac:dyDescent="0.25">
      <c r="A63" s="2" t="s">
        <v>79</v>
      </c>
      <c r="B63" s="2" t="s">
        <v>52</v>
      </c>
      <c r="C63" s="2">
        <v>117.95</v>
      </c>
      <c r="D63" s="2">
        <v>15</v>
      </c>
      <c r="E63" s="2">
        <v>100.26</v>
      </c>
      <c r="F63" s="2" t="s">
        <v>24</v>
      </c>
    </row>
    <row r="64" spans="1:6" x14ac:dyDescent="0.25">
      <c r="A64" s="2" t="s">
        <v>80</v>
      </c>
      <c r="B64" s="2" t="s">
        <v>22</v>
      </c>
      <c r="C64" s="2">
        <v>294.66000000000003</v>
      </c>
      <c r="D64" s="2">
        <v>15</v>
      </c>
      <c r="E64" s="2">
        <v>250.46</v>
      </c>
      <c r="F64" s="2" t="s">
        <v>8</v>
      </c>
    </row>
    <row r="65" spans="1:6" x14ac:dyDescent="0.25">
      <c r="A65" s="2" t="s">
        <v>81</v>
      </c>
      <c r="B65" s="2" t="s">
        <v>52</v>
      </c>
      <c r="C65" s="2">
        <v>225.59</v>
      </c>
      <c r="D65" s="2">
        <v>25</v>
      </c>
      <c r="E65" s="2">
        <v>169.19</v>
      </c>
      <c r="F65" s="2" t="s">
        <v>8</v>
      </c>
    </row>
    <row r="66" spans="1:6" x14ac:dyDescent="0.25">
      <c r="A66" s="2" t="s">
        <v>82</v>
      </c>
      <c r="B66" s="2" t="s">
        <v>15</v>
      </c>
      <c r="C66" s="2">
        <v>328.31</v>
      </c>
      <c r="D66" s="2">
        <v>10</v>
      </c>
      <c r="E66" s="2">
        <v>295.48</v>
      </c>
      <c r="F66" s="2" t="s">
        <v>24</v>
      </c>
    </row>
    <row r="67" spans="1:6" x14ac:dyDescent="0.25">
      <c r="A67" s="2" t="s">
        <v>83</v>
      </c>
      <c r="B67" s="2" t="s">
        <v>13</v>
      </c>
      <c r="C67" s="2">
        <v>87.6</v>
      </c>
      <c r="D67" s="2">
        <v>25</v>
      </c>
      <c r="E67" s="2">
        <v>65.7</v>
      </c>
      <c r="F67" s="2" t="s">
        <v>20</v>
      </c>
    </row>
    <row r="68" spans="1:6" x14ac:dyDescent="0.25">
      <c r="A68" s="2" t="s">
        <v>84</v>
      </c>
      <c r="B68" s="2" t="s">
        <v>7</v>
      </c>
      <c r="C68" s="2">
        <v>474.63</v>
      </c>
      <c r="D68" s="2">
        <v>5</v>
      </c>
      <c r="E68" s="2">
        <v>450.9</v>
      </c>
      <c r="F68" s="2" t="s">
        <v>8</v>
      </c>
    </row>
    <row r="69" spans="1:6" x14ac:dyDescent="0.25">
      <c r="A69" s="2" t="s">
        <v>85</v>
      </c>
      <c r="B69" s="2" t="s">
        <v>22</v>
      </c>
      <c r="C69" s="2">
        <v>412.98</v>
      </c>
      <c r="D69" s="2">
        <v>20</v>
      </c>
      <c r="E69" s="2">
        <v>330.38</v>
      </c>
      <c r="F69" s="2" t="s">
        <v>18</v>
      </c>
    </row>
    <row r="70" spans="1:6" x14ac:dyDescent="0.25">
      <c r="A70" s="2" t="s">
        <v>86</v>
      </c>
      <c r="B70" s="2" t="s">
        <v>31</v>
      </c>
      <c r="C70" s="2">
        <v>479.52</v>
      </c>
      <c r="D70" s="2">
        <v>15</v>
      </c>
      <c r="E70" s="2">
        <v>407.59</v>
      </c>
      <c r="F70" s="2" t="s">
        <v>20</v>
      </c>
    </row>
    <row r="71" spans="1:6" x14ac:dyDescent="0.25">
      <c r="A71" s="2" t="s">
        <v>87</v>
      </c>
      <c r="B71" s="2" t="s">
        <v>7</v>
      </c>
      <c r="C71" s="2">
        <v>355.43</v>
      </c>
      <c r="D71" s="2">
        <v>25</v>
      </c>
      <c r="E71" s="2">
        <v>266.57</v>
      </c>
      <c r="F71" s="2" t="s">
        <v>20</v>
      </c>
    </row>
    <row r="72" spans="1:6" x14ac:dyDescent="0.25">
      <c r="A72" s="2" t="s">
        <v>88</v>
      </c>
      <c r="B72" s="2" t="s">
        <v>31</v>
      </c>
      <c r="C72" s="2">
        <v>277.14</v>
      </c>
      <c r="D72" s="2">
        <v>10</v>
      </c>
      <c r="E72" s="2">
        <v>249.43</v>
      </c>
      <c r="F72" s="2" t="s">
        <v>20</v>
      </c>
    </row>
    <row r="73" spans="1:6" x14ac:dyDescent="0.25">
      <c r="A73" s="2" t="s">
        <v>89</v>
      </c>
      <c r="B73" s="2" t="s">
        <v>10</v>
      </c>
      <c r="C73" s="2">
        <v>101.29</v>
      </c>
      <c r="D73" s="2">
        <v>15</v>
      </c>
      <c r="E73" s="2">
        <v>86.1</v>
      </c>
      <c r="F73" s="2" t="s">
        <v>20</v>
      </c>
    </row>
    <row r="74" spans="1:6" x14ac:dyDescent="0.25">
      <c r="A74" s="2" t="s">
        <v>90</v>
      </c>
      <c r="B74" s="2" t="s">
        <v>31</v>
      </c>
      <c r="C74" s="2">
        <v>181.69</v>
      </c>
      <c r="D74" s="2">
        <v>10</v>
      </c>
      <c r="E74" s="2">
        <v>163.52000000000001</v>
      </c>
      <c r="F74" s="2" t="s">
        <v>18</v>
      </c>
    </row>
    <row r="75" spans="1:6" x14ac:dyDescent="0.25">
      <c r="A75" s="2" t="s">
        <v>91</v>
      </c>
      <c r="B75" s="2" t="s">
        <v>15</v>
      </c>
      <c r="C75" s="2">
        <v>152.43</v>
      </c>
      <c r="D75" s="2">
        <v>20</v>
      </c>
      <c r="E75" s="2">
        <v>121.94</v>
      </c>
      <c r="F75" s="2" t="s">
        <v>18</v>
      </c>
    </row>
    <row r="76" spans="1:6" x14ac:dyDescent="0.25">
      <c r="A76" s="2" t="s">
        <v>92</v>
      </c>
      <c r="B76" s="2" t="s">
        <v>31</v>
      </c>
      <c r="C76" s="2">
        <v>268.14</v>
      </c>
      <c r="D76" s="2">
        <v>0</v>
      </c>
      <c r="E76" s="2">
        <v>268.14</v>
      </c>
      <c r="F76" s="2" t="s">
        <v>18</v>
      </c>
    </row>
    <row r="77" spans="1:6" x14ac:dyDescent="0.25">
      <c r="A77" s="2" t="s">
        <v>93</v>
      </c>
      <c r="B77" s="2" t="s">
        <v>7</v>
      </c>
      <c r="C77" s="2">
        <v>200.63</v>
      </c>
      <c r="D77" s="2">
        <v>5</v>
      </c>
      <c r="E77" s="2">
        <v>190.6</v>
      </c>
      <c r="F77" s="2" t="s">
        <v>11</v>
      </c>
    </row>
    <row r="78" spans="1:6" x14ac:dyDescent="0.25">
      <c r="A78" s="2" t="s">
        <v>94</v>
      </c>
      <c r="B78" s="2" t="s">
        <v>13</v>
      </c>
      <c r="C78" s="2">
        <v>392.26</v>
      </c>
      <c r="D78" s="2">
        <v>5</v>
      </c>
      <c r="E78" s="2">
        <v>372.65</v>
      </c>
      <c r="F78" s="2" t="s">
        <v>8</v>
      </c>
    </row>
    <row r="79" spans="1:6" x14ac:dyDescent="0.25">
      <c r="A79" s="2" t="s">
        <v>95</v>
      </c>
      <c r="B79" s="2" t="s">
        <v>22</v>
      </c>
      <c r="C79" s="2">
        <v>451.25</v>
      </c>
      <c r="D79" s="2">
        <v>30</v>
      </c>
      <c r="E79" s="2">
        <v>315.88</v>
      </c>
      <c r="F79" s="2" t="s">
        <v>8</v>
      </c>
    </row>
    <row r="80" spans="1:6" x14ac:dyDescent="0.25">
      <c r="A80" s="2" t="s">
        <v>96</v>
      </c>
      <c r="B80" s="2" t="s">
        <v>22</v>
      </c>
      <c r="C80" s="2">
        <v>153.13</v>
      </c>
      <c r="D80" s="2">
        <v>5</v>
      </c>
      <c r="E80" s="2">
        <v>145.47</v>
      </c>
      <c r="F80" s="2" t="s">
        <v>24</v>
      </c>
    </row>
    <row r="81" spans="1:6" x14ac:dyDescent="0.25">
      <c r="A81" s="2" t="s">
        <v>97</v>
      </c>
      <c r="B81" s="2" t="s">
        <v>7</v>
      </c>
      <c r="C81" s="2">
        <v>244.73</v>
      </c>
      <c r="D81" s="2">
        <v>50</v>
      </c>
      <c r="E81" s="2">
        <v>122.36</v>
      </c>
      <c r="F81" s="2" t="s">
        <v>20</v>
      </c>
    </row>
    <row r="82" spans="1:6" x14ac:dyDescent="0.25">
      <c r="A82" s="2" t="s">
        <v>98</v>
      </c>
      <c r="B82" s="2" t="s">
        <v>52</v>
      </c>
      <c r="C82" s="2">
        <v>204.33</v>
      </c>
      <c r="D82" s="2">
        <v>10</v>
      </c>
      <c r="E82" s="2">
        <v>183.9</v>
      </c>
      <c r="F82" s="2" t="s">
        <v>24</v>
      </c>
    </row>
    <row r="83" spans="1:6" x14ac:dyDescent="0.25">
      <c r="A83" s="2" t="s">
        <v>99</v>
      </c>
      <c r="B83" s="2" t="s">
        <v>22</v>
      </c>
      <c r="C83" s="2">
        <v>384.61</v>
      </c>
      <c r="D83" s="2">
        <v>0</v>
      </c>
      <c r="E83" s="2">
        <v>384.61</v>
      </c>
      <c r="F83" s="2" t="s">
        <v>20</v>
      </c>
    </row>
    <row r="84" spans="1:6" x14ac:dyDescent="0.25">
      <c r="A84" s="2" t="s">
        <v>100</v>
      </c>
      <c r="B84" s="2" t="s">
        <v>15</v>
      </c>
      <c r="C84" s="2">
        <v>20.309999999999999</v>
      </c>
      <c r="D84" s="2">
        <v>5</v>
      </c>
      <c r="E84" s="2">
        <v>19.29</v>
      </c>
      <c r="F84" s="2" t="s">
        <v>8</v>
      </c>
    </row>
    <row r="85" spans="1:6" x14ac:dyDescent="0.25">
      <c r="A85" s="2" t="s">
        <v>101</v>
      </c>
      <c r="B85" s="2" t="s">
        <v>15</v>
      </c>
      <c r="C85" s="2">
        <v>411.1</v>
      </c>
      <c r="D85" s="2">
        <v>30</v>
      </c>
      <c r="E85" s="2">
        <v>287.77</v>
      </c>
      <c r="F85" s="2" t="s">
        <v>11</v>
      </c>
    </row>
    <row r="86" spans="1:6" x14ac:dyDescent="0.25">
      <c r="A86" s="2" t="s">
        <v>102</v>
      </c>
      <c r="B86" s="2" t="s">
        <v>15</v>
      </c>
      <c r="C86" s="2">
        <v>482.74</v>
      </c>
      <c r="D86" s="2">
        <v>20</v>
      </c>
      <c r="E86" s="2">
        <v>386.19</v>
      </c>
      <c r="F86" s="2" t="s">
        <v>11</v>
      </c>
    </row>
    <row r="87" spans="1:6" x14ac:dyDescent="0.25">
      <c r="A87" s="2" t="s">
        <v>103</v>
      </c>
      <c r="B87" s="2" t="s">
        <v>15</v>
      </c>
      <c r="C87" s="2">
        <v>400.25</v>
      </c>
      <c r="D87" s="2">
        <v>30</v>
      </c>
      <c r="E87" s="2">
        <v>280.17</v>
      </c>
      <c r="F87" s="2" t="s">
        <v>24</v>
      </c>
    </row>
    <row r="88" spans="1:6" x14ac:dyDescent="0.25">
      <c r="A88" s="2" t="s">
        <v>104</v>
      </c>
      <c r="B88" s="2" t="s">
        <v>15</v>
      </c>
      <c r="C88" s="2">
        <v>416.29</v>
      </c>
      <c r="D88" s="2">
        <v>25</v>
      </c>
      <c r="E88" s="2">
        <v>312.22000000000003</v>
      </c>
      <c r="F88" s="2" t="s">
        <v>20</v>
      </c>
    </row>
    <row r="89" spans="1:6" x14ac:dyDescent="0.25">
      <c r="A89" s="2" t="s">
        <v>105</v>
      </c>
      <c r="B89" s="2" t="s">
        <v>15</v>
      </c>
      <c r="C89" s="2">
        <v>422.63</v>
      </c>
      <c r="D89" s="2">
        <v>50</v>
      </c>
      <c r="E89" s="2">
        <v>211.31</v>
      </c>
      <c r="F89" s="2" t="s">
        <v>20</v>
      </c>
    </row>
    <row r="90" spans="1:6" x14ac:dyDescent="0.25">
      <c r="A90" s="2" t="s">
        <v>106</v>
      </c>
      <c r="B90" s="2" t="s">
        <v>31</v>
      </c>
      <c r="C90" s="2">
        <v>332.89</v>
      </c>
      <c r="D90" s="2">
        <v>0</v>
      </c>
      <c r="E90" s="2">
        <v>332.89</v>
      </c>
      <c r="F90" s="2" t="s">
        <v>8</v>
      </c>
    </row>
    <row r="91" spans="1:6" x14ac:dyDescent="0.25">
      <c r="A91" s="2" t="s">
        <v>107</v>
      </c>
      <c r="B91" s="2" t="s">
        <v>52</v>
      </c>
      <c r="C91" s="2">
        <v>133.61000000000001</v>
      </c>
      <c r="D91" s="2">
        <v>10</v>
      </c>
      <c r="E91" s="2">
        <v>120.25</v>
      </c>
      <c r="F91" s="2" t="s">
        <v>11</v>
      </c>
    </row>
    <row r="92" spans="1:6" x14ac:dyDescent="0.25">
      <c r="A92" s="2" t="s">
        <v>108</v>
      </c>
      <c r="B92" s="2" t="s">
        <v>22</v>
      </c>
      <c r="C92" s="2">
        <v>261.33</v>
      </c>
      <c r="D92" s="2">
        <v>30</v>
      </c>
      <c r="E92" s="2">
        <v>182.93</v>
      </c>
      <c r="F92" s="2" t="s">
        <v>24</v>
      </c>
    </row>
    <row r="93" spans="1:6" x14ac:dyDescent="0.25">
      <c r="A93" s="2" t="s">
        <v>109</v>
      </c>
      <c r="B93" s="2" t="s">
        <v>31</v>
      </c>
      <c r="C93" s="2">
        <v>255.26</v>
      </c>
      <c r="D93" s="2">
        <v>25</v>
      </c>
      <c r="E93" s="2">
        <v>191.44</v>
      </c>
      <c r="F93" s="2" t="s">
        <v>8</v>
      </c>
    </row>
    <row r="94" spans="1:6" x14ac:dyDescent="0.25">
      <c r="A94" s="2" t="s">
        <v>110</v>
      </c>
      <c r="B94" s="2" t="s">
        <v>22</v>
      </c>
      <c r="C94" s="2">
        <v>203.54</v>
      </c>
      <c r="D94" s="2">
        <v>25</v>
      </c>
      <c r="E94" s="2">
        <v>152.66</v>
      </c>
      <c r="F94" s="2" t="s">
        <v>20</v>
      </c>
    </row>
    <row r="95" spans="1:6" x14ac:dyDescent="0.25">
      <c r="A95" s="2" t="s">
        <v>111</v>
      </c>
      <c r="B95" s="2" t="s">
        <v>31</v>
      </c>
      <c r="C95" s="2">
        <v>236.16</v>
      </c>
      <c r="D95" s="2">
        <v>15</v>
      </c>
      <c r="E95" s="2">
        <v>200.74</v>
      </c>
      <c r="F95" s="2" t="s">
        <v>8</v>
      </c>
    </row>
    <row r="96" spans="1:6" x14ac:dyDescent="0.25">
      <c r="A96" s="2" t="s">
        <v>112</v>
      </c>
      <c r="B96" s="2" t="s">
        <v>22</v>
      </c>
      <c r="C96" s="2">
        <v>319.55</v>
      </c>
      <c r="D96" s="2">
        <v>25</v>
      </c>
      <c r="E96" s="2">
        <v>239.66</v>
      </c>
      <c r="F96" s="2" t="s">
        <v>20</v>
      </c>
    </row>
    <row r="97" spans="1:6" x14ac:dyDescent="0.25">
      <c r="A97" s="2" t="s">
        <v>113</v>
      </c>
      <c r="B97" s="2" t="s">
        <v>22</v>
      </c>
      <c r="C97" s="2">
        <v>224.56</v>
      </c>
      <c r="D97" s="2">
        <v>50</v>
      </c>
      <c r="E97" s="2">
        <v>112.28</v>
      </c>
      <c r="F97" s="2" t="s">
        <v>11</v>
      </c>
    </row>
    <row r="98" spans="1:6" x14ac:dyDescent="0.25">
      <c r="A98" s="2" t="s">
        <v>114</v>
      </c>
      <c r="B98" s="2" t="s">
        <v>22</v>
      </c>
      <c r="C98" s="2">
        <v>96.27</v>
      </c>
      <c r="D98" s="2">
        <v>30</v>
      </c>
      <c r="E98" s="2">
        <v>67.39</v>
      </c>
      <c r="F98" s="2" t="s">
        <v>24</v>
      </c>
    </row>
    <row r="99" spans="1:6" x14ac:dyDescent="0.25">
      <c r="A99" s="2" t="s">
        <v>115</v>
      </c>
      <c r="B99" s="2" t="s">
        <v>13</v>
      </c>
      <c r="C99" s="2">
        <v>473.05</v>
      </c>
      <c r="D99" s="2">
        <v>50</v>
      </c>
      <c r="E99" s="2">
        <v>236.53</v>
      </c>
      <c r="F99" s="2" t="s">
        <v>8</v>
      </c>
    </row>
    <row r="100" spans="1:6" x14ac:dyDescent="0.25">
      <c r="A100" s="2" t="s">
        <v>116</v>
      </c>
      <c r="B100" s="2" t="s">
        <v>22</v>
      </c>
      <c r="C100" s="2">
        <v>412.56</v>
      </c>
      <c r="D100" s="2">
        <v>50</v>
      </c>
      <c r="E100" s="2">
        <v>206.28</v>
      </c>
      <c r="F100" s="2" t="s">
        <v>8</v>
      </c>
    </row>
    <row r="101" spans="1:6" x14ac:dyDescent="0.25">
      <c r="A101" s="2" t="s">
        <v>117</v>
      </c>
      <c r="B101" s="2" t="s">
        <v>31</v>
      </c>
      <c r="C101" s="2">
        <v>414.86</v>
      </c>
      <c r="D101" s="2">
        <v>50</v>
      </c>
      <c r="E101" s="2">
        <v>207.43</v>
      </c>
      <c r="F101" s="2" t="s">
        <v>8</v>
      </c>
    </row>
    <row r="102" spans="1:6" x14ac:dyDescent="0.25">
      <c r="A102" s="2" t="s">
        <v>118</v>
      </c>
      <c r="B102" s="2" t="s">
        <v>22</v>
      </c>
      <c r="C102" s="2">
        <v>87.2</v>
      </c>
      <c r="D102" s="2">
        <v>5</v>
      </c>
      <c r="E102" s="2">
        <v>82.84</v>
      </c>
      <c r="F102" s="2" t="s">
        <v>20</v>
      </c>
    </row>
  </sheetData>
  <mergeCells count="4">
    <mergeCell ref="H8:M8"/>
    <mergeCell ref="H10:M10"/>
    <mergeCell ref="I7:N7"/>
    <mergeCell ref="H6:M6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0"/>
  <sheetViews>
    <sheetView tabSelected="1" workbookViewId="0">
      <selection activeCell="L12" sqref="L12"/>
    </sheetView>
  </sheetViews>
  <sheetFormatPr defaultRowHeight="15" x14ac:dyDescent="0.25"/>
  <cols>
    <col min="1" max="1" width="16.7109375" customWidth="1"/>
    <col min="2" max="2" width="15.5703125" customWidth="1"/>
    <col min="4" max="4" width="15.28515625" customWidth="1"/>
    <col min="10" max="10" width="10.5703125" customWidth="1"/>
    <col min="11" max="11" width="12.42578125" customWidth="1"/>
    <col min="12" max="12" width="12.28515625" customWidth="1"/>
    <col min="13" max="13" width="9.42578125" customWidth="1"/>
    <col min="14" max="14" width="10.140625" customWidth="1"/>
    <col min="15" max="15" width="11.28515625" customWidth="1"/>
  </cols>
  <sheetData>
    <row r="1" spans="1:15" x14ac:dyDescent="0.25">
      <c r="A1" s="18" t="s">
        <v>206</v>
      </c>
      <c r="B1" s="19"/>
      <c r="C1" s="19"/>
      <c r="D1" s="19"/>
      <c r="E1" s="19"/>
      <c r="J1" s="18" t="s">
        <v>229</v>
      </c>
      <c r="K1" s="9"/>
      <c r="L1" s="9"/>
      <c r="M1" s="9"/>
      <c r="N1" s="9"/>
      <c r="O1" s="9"/>
    </row>
    <row r="2" spans="1:15" x14ac:dyDescent="0.25">
      <c r="A2" s="19"/>
      <c r="B2" s="19"/>
      <c r="C2" s="19"/>
      <c r="D2" s="19"/>
      <c r="E2" s="19"/>
      <c r="J2" s="9"/>
      <c r="K2" s="9"/>
      <c r="L2" s="9"/>
      <c r="M2" s="9"/>
      <c r="N2" s="9"/>
      <c r="O2" s="9"/>
    </row>
    <row r="3" spans="1:15" x14ac:dyDescent="0.25">
      <c r="A3" s="1" t="s">
        <v>224</v>
      </c>
      <c r="B3" s="1" t="s">
        <v>225</v>
      </c>
      <c r="C3" s="1" t="s">
        <v>226</v>
      </c>
      <c r="D3" s="1" t="s">
        <v>227</v>
      </c>
      <c r="J3" t="s">
        <v>230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</row>
    <row r="4" spans="1:15" x14ac:dyDescent="0.25">
      <c r="A4" t="s">
        <v>207</v>
      </c>
      <c r="B4" s="8" t="s">
        <v>10</v>
      </c>
      <c r="C4">
        <v>60</v>
      </c>
      <c r="D4">
        <v>10500</v>
      </c>
      <c r="J4" t="s">
        <v>231</v>
      </c>
      <c r="K4">
        <v>90</v>
      </c>
      <c r="L4">
        <v>85</v>
      </c>
      <c r="M4">
        <v>98</v>
      </c>
      <c r="N4">
        <v>90</v>
      </c>
      <c r="O4">
        <v>85</v>
      </c>
    </row>
    <row r="5" spans="1:15" x14ac:dyDescent="0.25">
      <c r="A5" t="s">
        <v>208</v>
      </c>
      <c r="B5" s="7" t="s">
        <v>52</v>
      </c>
      <c r="C5">
        <v>70</v>
      </c>
      <c r="D5">
        <v>80900</v>
      </c>
      <c r="J5" t="s">
        <v>232</v>
      </c>
      <c r="K5">
        <v>96</v>
      </c>
      <c r="L5">
        <v>90</v>
      </c>
      <c r="M5">
        <v>89</v>
      </c>
      <c r="N5">
        <v>90</v>
      </c>
      <c r="O5">
        <v>87</v>
      </c>
    </row>
    <row r="6" spans="1:15" x14ac:dyDescent="0.25">
      <c r="A6" t="s">
        <v>209</v>
      </c>
      <c r="B6" s="8" t="s">
        <v>15</v>
      </c>
      <c r="C6">
        <v>80</v>
      </c>
      <c r="D6">
        <v>56000</v>
      </c>
      <c r="J6" t="s">
        <v>233</v>
      </c>
      <c r="K6">
        <v>98</v>
      </c>
      <c r="L6">
        <v>97</v>
      </c>
      <c r="M6">
        <v>78</v>
      </c>
      <c r="N6">
        <v>99</v>
      </c>
      <c r="O6">
        <v>97</v>
      </c>
    </row>
    <row r="7" spans="1:15" x14ac:dyDescent="0.25">
      <c r="A7" t="s">
        <v>210</v>
      </c>
      <c r="B7" s="7" t="s">
        <v>31</v>
      </c>
      <c r="C7">
        <v>50</v>
      </c>
      <c r="D7">
        <v>45000</v>
      </c>
      <c r="F7" t="s">
        <v>219</v>
      </c>
      <c r="G7">
        <f>VLOOKUP(F7,A3:D20,4,FALSE)</f>
        <v>25000</v>
      </c>
      <c r="J7" t="s">
        <v>234</v>
      </c>
      <c r="K7">
        <v>97</v>
      </c>
      <c r="L7">
        <v>87</v>
      </c>
      <c r="M7">
        <v>90</v>
      </c>
      <c r="N7">
        <v>89</v>
      </c>
      <c r="O7">
        <v>89</v>
      </c>
    </row>
    <row r="8" spans="1:15" x14ac:dyDescent="0.25">
      <c r="A8" t="s">
        <v>211</v>
      </c>
      <c r="B8" s="8" t="s">
        <v>52</v>
      </c>
      <c r="C8">
        <v>40</v>
      </c>
      <c r="D8">
        <v>78000</v>
      </c>
      <c r="J8" t="s">
        <v>235</v>
      </c>
      <c r="K8">
        <v>100</v>
      </c>
      <c r="L8">
        <v>87</v>
      </c>
      <c r="M8">
        <v>60</v>
      </c>
      <c r="N8">
        <v>97</v>
      </c>
      <c r="O8">
        <v>81</v>
      </c>
    </row>
    <row r="9" spans="1:15" x14ac:dyDescent="0.25">
      <c r="A9" t="s">
        <v>212</v>
      </c>
      <c r="B9" s="7" t="s">
        <v>7</v>
      </c>
      <c r="C9">
        <v>70</v>
      </c>
      <c r="D9">
        <v>34500</v>
      </c>
    </row>
    <row r="10" spans="1:15" x14ac:dyDescent="0.25">
      <c r="A10" t="s">
        <v>213</v>
      </c>
      <c r="B10" s="8" t="s">
        <v>22</v>
      </c>
      <c r="C10">
        <v>90</v>
      </c>
      <c r="D10">
        <v>20000</v>
      </c>
      <c r="F10" t="s">
        <v>228</v>
      </c>
    </row>
    <row r="11" spans="1:15" x14ac:dyDescent="0.25">
      <c r="A11" t="s">
        <v>214</v>
      </c>
      <c r="B11" s="7" t="s">
        <v>15</v>
      </c>
      <c r="C11">
        <v>100</v>
      </c>
      <c r="D11">
        <v>30000</v>
      </c>
      <c r="K11" t="s">
        <v>236</v>
      </c>
      <c r="L11">
        <f>HLOOKUP(K11,Table8[#All],6,FALSE)</f>
        <v>100</v>
      </c>
    </row>
    <row r="12" spans="1:15" x14ac:dyDescent="0.25">
      <c r="A12" t="s">
        <v>215</v>
      </c>
      <c r="B12" s="8" t="s">
        <v>52</v>
      </c>
      <c r="C12">
        <v>20</v>
      </c>
      <c r="D12">
        <v>78000</v>
      </c>
    </row>
    <row r="13" spans="1:15" x14ac:dyDescent="0.25">
      <c r="A13" t="s">
        <v>216</v>
      </c>
      <c r="B13" s="7" t="s">
        <v>22</v>
      </c>
      <c r="C13">
        <v>77</v>
      </c>
      <c r="D13">
        <v>60000</v>
      </c>
    </row>
    <row r="14" spans="1:15" x14ac:dyDescent="0.25">
      <c r="A14" t="s">
        <v>217</v>
      </c>
      <c r="B14" s="8" t="s">
        <v>52</v>
      </c>
      <c r="C14">
        <v>80</v>
      </c>
      <c r="D14">
        <v>45000</v>
      </c>
    </row>
    <row r="15" spans="1:15" x14ac:dyDescent="0.25">
      <c r="A15" t="s">
        <v>218</v>
      </c>
      <c r="B15" s="7" t="s">
        <v>15</v>
      </c>
      <c r="C15">
        <v>60</v>
      </c>
      <c r="D15">
        <v>35000</v>
      </c>
    </row>
    <row r="16" spans="1:15" x14ac:dyDescent="0.25">
      <c r="A16" t="s">
        <v>219</v>
      </c>
      <c r="B16" s="8" t="s">
        <v>13</v>
      </c>
      <c r="C16">
        <v>60</v>
      </c>
      <c r="D16">
        <v>25000</v>
      </c>
    </row>
    <row r="17" spans="1:4" x14ac:dyDescent="0.25">
      <c r="A17" t="s">
        <v>220</v>
      </c>
      <c r="B17" s="7" t="s">
        <v>7</v>
      </c>
      <c r="C17">
        <v>90</v>
      </c>
      <c r="D17">
        <v>90000</v>
      </c>
    </row>
    <row r="18" spans="1:4" x14ac:dyDescent="0.25">
      <c r="A18" t="s">
        <v>221</v>
      </c>
      <c r="B18" s="8" t="s">
        <v>22</v>
      </c>
      <c r="C18">
        <v>90</v>
      </c>
      <c r="D18">
        <v>23000</v>
      </c>
    </row>
    <row r="19" spans="1:4" x14ac:dyDescent="0.25">
      <c r="A19" t="s">
        <v>222</v>
      </c>
      <c r="B19" s="7" t="s">
        <v>31</v>
      </c>
      <c r="C19">
        <v>90</v>
      </c>
      <c r="D19">
        <v>90000</v>
      </c>
    </row>
    <row r="20" spans="1:4" x14ac:dyDescent="0.25">
      <c r="A20" t="s">
        <v>223</v>
      </c>
      <c r="B20" s="8" t="s">
        <v>7</v>
      </c>
      <c r="C20">
        <v>90</v>
      </c>
      <c r="D20">
        <v>56000</v>
      </c>
    </row>
  </sheetData>
  <mergeCells count="2">
    <mergeCell ref="A1:E2"/>
    <mergeCell ref="J1:O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22"/>
  <sheetViews>
    <sheetView topLeftCell="A28" workbookViewId="0">
      <selection activeCell="M15" sqref="M15"/>
    </sheetView>
  </sheetViews>
  <sheetFormatPr defaultRowHeight="15" x14ac:dyDescent="0.25"/>
  <cols>
    <col min="1" max="1" width="9.28515625" style="2" customWidth="1"/>
    <col min="2" max="2" width="26.140625" style="2" customWidth="1"/>
    <col min="3" max="3" width="11.5703125" style="2" customWidth="1"/>
    <col min="4" max="4" width="9.7109375" style="2" customWidth="1"/>
    <col min="5" max="5" width="11" style="2" bestFit="1" customWidth="1"/>
    <col min="6" max="6" width="24" style="2" bestFit="1" customWidth="1"/>
    <col min="7" max="7" width="13.5703125" style="2" customWidth="1"/>
    <col min="8" max="8" width="11.140625" style="2" customWidth="1"/>
    <col min="9" max="9" width="10.85546875" style="2" customWidth="1"/>
    <col min="10" max="10" width="9.140625" style="2"/>
    <col min="11" max="11" width="21.42578125" style="2" customWidth="1"/>
    <col min="12" max="12" width="11" style="2" customWidth="1"/>
    <col min="13" max="16384" width="9.140625" style="2"/>
  </cols>
  <sheetData>
    <row r="1" spans="1:12" x14ac:dyDescent="0.25">
      <c r="A1" s="2" t="s">
        <v>127</v>
      </c>
      <c r="B1" s="2" t="s">
        <v>128</v>
      </c>
      <c r="C1" s="2" t="s">
        <v>129</v>
      </c>
      <c r="D1" s="2" t="s">
        <v>130</v>
      </c>
      <c r="E1" s="2" t="s">
        <v>131</v>
      </c>
      <c r="F1" s="2" t="s">
        <v>132</v>
      </c>
      <c r="G1" s="15" t="s">
        <v>133</v>
      </c>
      <c r="H1" s="2" t="s">
        <v>134</v>
      </c>
      <c r="I1" s="2" t="s">
        <v>135</v>
      </c>
    </row>
    <row r="2" spans="1:12" x14ac:dyDescent="0.25">
      <c r="A2" s="2">
        <v>1</v>
      </c>
      <c r="B2" s="2" t="s">
        <v>136</v>
      </c>
      <c r="C2" s="16">
        <v>45301</v>
      </c>
      <c r="D2" s="2" t="s">
        <v>137</v>
      </c>
      <c r="E2" s="2" t="s">
        <v>138</v>
      </c>
      <c r="F2" s="2" t="s">
        <v>139</v>
      </c>
      <c r="G2" s="15">
        <v>0</v>
      </c>
      <c r="H2" s="16">
        <v>45310</v>
      </c>
      <c r="I2" s="2">
        <f>H2-C2</f>
        <v>9</v>
      </c>
    </row>
    <row r="3" spans="1:12" x14ac:dyDescent="0.25">
      <c r="A3" s="2">
        <v>2</v>
      </c>
      <c r="B3" s="2" t="s">
        <v>140</v>
      </c>
      <c r="C3" s="16">
        <v>45303</v>
      </c>
      <c r="D3" s="2" t="s">
        <v>141</v>
      </c>
      <c r="E3" s="2" t="s">
        <v>142</v>
      </c>
      <c r="F3" s="2" t="s">
        <v>143</v>
      </c>
      <c r="G3" s="15">
        <v>0.4</v>
      </c>
      <c r="H3" s="16">
        <v>45332</v>
      </c>
      <c r="I3" s="2">
        <f>H3-C3</f>
        <v>29</v>
      </c>
    </row>
    <row r="4" spans="1:12" x14ac:dyDescent="0.25">
      <c r="A4" s="2">
        <v>3</v>
      </c>
      <c r="B4" s="2" t="s">
        <v>144</v>
      </c>
      <c r="C4" s="16">
        <v>45306</v>
      </c>
      <c r="D4" s="2" t="s">
        <v>137</v>
      </c>
      <c r="E4" s="2" t="s">
        <v>138</v>
      </c>
      <c r="F4" s="2" t="s">
        <v>145</v>
      </c>
      <c r="G4" s="15">
        <v>0</v>
      </c>
      <c r="H4" s="16">
        <v>45319</v>
      </c>
      <c r="I4" s="2">
        <f t="shared" ref="I4:I29" si="0">H4-C4</f>
        <v>13</v>
      </c>
    </row>
    <row r="5" spans="1:12" x14ac:dyDescent="0.25">
      <c r="A5" s="2">
        <v>4</v>
      </c>
      <c r="B5" s="2" t="s">
        <v>146</v>
      </c>
      <c r="C5" s="16">
        <v>45302</v>
      </c>
      <c r="D5" s="2" t="s">
        <v>147</v>
      </c>
      <c r="E5" s="2" t="s">
        <v>148</v>
      </c>
      <c r="F5" s="2" t="s">
        <v>149</v>
      </c>
      <c r="G5" s="15">
        <v>1</v>
      </c>
      <c r="H5" s="16">
        <v>45355</v>
      </c>
      <c r="I5" s="2">
        <f t="shared" si="0"/>
        <v>53</v>
      </c>
      <c r="K5"/>
      <c r="L5"/>
    </row>
    <row r="6" spans="1:12" x14ac:dyDescent="0.25">
      <c r="A6" s="2">
        <v>5</v>
      </c>
      <c r="B6" s="2" t="s">
        <v>151</v>
      </c>
      <c r="C6" s="16">
        <v>45305</v>
      </c>
      <c r="D6" s="2" t="s">
        <v>137</v>
      </c>
      <c r="E6" s="2" t="s">
        <v>142</v>
      </c>
      <c r="F6" s="2" t="s">
        <v>152</v>
      </c>
      <c r="G6" s="15">
        <v>0.6</v>
      </c>
      <c r="H6" s="16">
        <v>45311</v>
      </c>
      <c r="I6" s="2">
        <f t="shared" si="0"/>
        <v>6</v>
      </c>
      <c r="K6" s="2" t="s">
        <v>150</v>
      </c>
      <c r="L6" s="2">
        <f>COUNTA(B2:B29)</f>
        <v>28</v>
      </c>
    </row>
    <row r="7" spans="1:12" x14ac:dyDescent="0.25">
      <c r="A7" s="2">
        <v>6</v>
      </c>
      <c r="B7" s="2" t="s">
        <v>154</v>
      </c>
      <c r="C7" s="16">
        <v>45302</v>
      </c>
      <c r="D7" s="2" t="s">
        <v>141</v>
      </c>
      <c r="E7" s="2" t="s">
        <v>148</v>
      </c>
      <c r="F7" s="2" t="s">
        <v>155</v>
      </c>
      <c r="G7" s="15">
        <v>1</v>
      </c>
      <c r="H7" s="16">
        <v>45324</v>
      </c>
      <c r="I7" s="2">
        <f t="shared" si="0"/>
        <v>22</v>
      </c>
      <c r="K7" s="2" t="s">
        <v>153</v>
      </c>
      <c r="L7" s="2">
        <f>COUNTIF([2]Sheet1!E2:E29,[2]Sheet1!E5)</f>
        <v>8</v>
      </c>
    </row>
    <row r="8" spans="1:12" x14ac:dyDescent="0.25">
      <c r="A8" s="2">
        <v>7</v>
      </c>
      <c r="B8" s="2" t="s">
        <v>157</v>
      </c>
      <c r="C8" s="16">
        <v>45306</v>
      </c>
      <c r="D8" s="2" t="s">
        <v>137</v>
      </c>
      <c r="E8" s="2" t="s">
        <v>138</v>
      </c>
      <c r="F8" s="2" t="s">
        <v>158</v>
      </c>
      <c r="G8" s="15">
        <v>0</v>
      </c>
      <c r="H8" s="16">
        <v>45316</v>
      </c>
      <c r="I8" s="2">
        <f t="shared" si="0"/>
        <v>10</v>
      </c>
      <c r="K8" s="2" t="s">
        <v>156</v>
      </c>
      <c r="L8" s="2">
        <f>COUNTIF(E2:E29,E3)</f>
        <v>8</v>
      </c>
    </row>
    <row r="9" spans="1:12" x14ac:dyDescent="0.25">
      <c r="A9" s="2">
        <v>8</v>
      </c>
      <c r="B9" s="2" t="s">
        <v>160</v>
      </c>
      <c r="C9" s="16">
        <v>45304</v>
      </c>
      <c r="D9" s="2" t="s">
        <v>147</v>
      </c>
      <c r="E9" s="2" t="s">
        <v>138</v>
      </c>
      <c r="F9" s="2" t="s">
        <v>161</v>
      </c>
      <c r="G9" s="15">
        <v>0</v>
      </c>
      <c r="H9" s="16">
        <v>45364</v>
      </c>
      <c r="I9" s="2">
        <f t="shared" si="0"/>
        <v>60</v>
      </c>
      <c r="K9" s="2" t="s">
        <v>159</v>
      </c>
      <c r="L9" s="2">
        <f>COUNTIF(E2:E29,E13)</f>
        <v>12</v>
      </c>
    </row>
    <row r="10" spans="1:12" x14ac:dyDescent="0.25">
      <c r="A10" s="2">
        <v>9</v>
      </c>
      <c r="B10" s="2" t="s">
        <v>163</v>
      </c>
      <c r="C10" s="16">
        <v>45309</v>
      </c>
      <c r="D10" s="2" t="s">
        <v>141</v>
      </c>
      <c r="E10" s="2" t="s">
        <v>142</v>
      </c>
      <c r="F10" s="2" t="s">
        <v>164</v>
      </c>
      <c r="G10" s="15">
        <v>0.5</v>
      </c>
      <c r="H10" s="16">
        <v>45350</v>
      </c>
      <c r="I10" s="2">
        <f t="shared" si="0"/>
        <v>41</v>
      </c>
      <c r="K10" s="2" t="s">
        <v>162</v>
      </c>
      <c r="L10" s="2">
        <f>COUNTIF(D2:D29,D11)</f>
        <v>9</v>
      </c>
    </row>
    <row r="11" spans="1:12" x14ac:dyDescent="0.25">
      <c r="A11" s="2">
        <v>10</v>
      </c>
      <c r="B11" s="2" t="s">
        <v>166</v>
      </c>
      <c r="C11" s="16">
        <v>45311</v>
      </c>
      <c r="D11" s="2" t="s">
        <v>137</v>
      </c>
      <c r="E11" s="2" t="s">
        <v>138</v>
      </c>
      <c r="F11" s="2" t="s">
        <v>167</v>
      </c>
      <c r="G11" s="15">
        <v>0</v>
      </c>
      <c r="H11" s="16">
        <v>45321</v>
      </c>
      <c r="I11" s="2">
        <f t="shared" si="0"/>
        <v>10</v>
      </c>
      <c r="K11" s="2" t="s">
        <v>165</v>
      </c>
      <c r="L11" s="2">
        <f>COUNTIF(D2:D29,D9)</f>
        <v>9</v>
      </c>
    </row>
    <row r="12" spans="1:12" x14ac:dyDescent="0.25">
      <c r="A12" s="2">
        <v>11</v>
      </c>
      <c r="B12" s="2" t="s">
        <v>169</v>
      </c>
      <c r="C12" s="16">
        <v>45303</v>
      </c>
      <c r="D12" s="2" t="s">
        <v>147</v>
      </c>
      <c r="E12" s="2" t="s">
        <v>148</v>
      </c>
      <c r="F12" s="2" t="s">
        <v>170</v>
      </c>
      <c r="G12" s="15">
        <v>1</v>
      </c>
      <c r="H12" s="16">
        <v>45373</v>
      </c>
      <c r="I12" s="2">
        <f t="shared" si="0"/>
        <v>70</v>
      </c>
      <c r="K12" s="2" t="s">
        <v>168</v>
      </c>
      <c r="L12" s="2">
        <f>COUNTIF(D2:D29,D15)</f>
        <v>10</v>
      </c>
    </row>
    <row r="13" spans="1:12" x14ac:dyDescent="0.25">
      <c r="A13" s="2">
        <v>12</v>
      </c>
      <c r="B13" s="2" t="s">
        <v>171</v>
      </c>
      <c r="C13" s="16">
        <v>45307</v>
      </c>
      <c r="D13" s="2" t="s">
        <v>147</v>
      </c>
      <c r="E13" s="2" t="s">
        <v>138</v>
      </c>
      <c r="F13" s="2" t="s">
        <v>172</v>
      </c>
      <c r="G13" s="15">
        <v>0</v>
      </c>
      <c r="H13" s="16">
        <v>45379</v>
      </c>
      <c r="I13" s="2">
        <f t="shared" si="0"/>
        <v>72</v>
      </c>
    </row>
    <row r="14" spans="1:12" x14ac:dyDescent="0.25">
      <c r="A14" s="2">
        <v>13</v>
      </c>
      <c r="B14" s="2" t="s">
        <v>173</v>
      </c>
      <c r="C14" s="16">
        <v>45305</v>
      </c>
      <c r="D14" s="2" t="s">
        <v>147</v>
      </c>
      <c r="E14" s="2" t="s">
        <v>142</v>
      </c>
      <c r="F14" s="2" t="s">
        <v>174</v>
      </c>
      <c r="G14" s="15">
        <v>0.4</v>
      </c>
      <c r="H14" s="16">
        <v>45373</v>
      </c>
      <c r="I14" s="2">
        <f t="shared" si="0"/>
        <v>68</v>
      </c>
    </row>
    <row r="15" spans="1:12" x14ac:dyDescent="0.25">
      <c r="A15" s="2">
        <v>14</v>
      </c>
      <c r="B15" s="2" t="s">
        <v>175</v>
      </c>
      <c r="C15" s="16">
        <v>45308</v>
      </c>
      <c r="D15" s="2" t="s">
        <v>141</v>
      </c>
      <c r="E15" s="2" t="s">
        <v>148</v>
      </c>
      <c r="F15" s="2" t="s">
        <v>176</v>
      </c>
      <c r="G15" s="15">
        <v>1</v>
      </c>
      <c r="H15" s="16">
        <v>45339</v>
      </c>
      <c r="I15" s="2">
        <f t="shared" si="0"/>
        <v>31</v>
      </c>
    </row>
    <row r="16" spans="1:12" x14ac:dyDescent="0.25">
      <c r="A16" s="2">
        <v>15</v>
      </c>
      <c r="B16" s="2" t="s">
        <v>177</v>
      </c>
      <c r="C16" s="16">
        <v>45304</v>
      </c>
      <c r="D16" s="2" t="s">
        <v>141</v>
      </c>
      <c r="E16" s="2" t="s">
        <v>138</v>
      </c>
      <c r="F16" s="2" t="s">
        <v>178</v>
      </c>
      <c r="G16" s="17">
        <v>0</v>
      </c>
      <c r="H16" s="16">
        <v>45335</v>
      </c>
      <c r="I16" s="2">
        <f t="shared" si="0"/>
        <v>31</v>
      </c>
    </row>
    <row r="17" spans="1:9" x14ac:dyDescent="0.25">
      <c r="A17" s="2">
        <v>16</v>
      </c>
      <c r="B17" s="2" t="s">
        <v>179</v>
      </c>
      <c r="C17" s="16">
        <v>45302</v>
      </c>
      <c r="D17" s="2" t="s">
        <v>137</v>
      </c>
      <c r="E17" s="2" t="s">
        <v>148</v>
      </c>
      <c r="F17" s="2" t="s">
        <v>180</v>
      </c>
      <c r="G17" s="15">
        <v>1</v>
      </c>
      <c r="H17" s="16">
        <v>45323</v>
      </c>
      <c r="I17" s="2">
        <f t="shared" si="0"/>
        <v>21</v>
      </c>
    </row>
    <row r="18" spans="1:9" x14ac:dyDescent="0.25">
      <c r="A18" s="2">
        <v>17</v>
      </c>
      <c r="B18" s="2" t="s">
        <v>181</v>
      </c>
      <c r="C18" s="16">
        <v>45310</v>
      </c>
      <c r="D18" s="2" t="s">
        <v>147</v>
      </c>
      <c r="E18" s="2" t="s">
        <v>138</v>
      </c>
      <c r="F18" s="2" t="s">
        <v>182</v>
      </c>
      <c r="G18" s="15">
        <v>0</v>
      </c>
      <c r="H18" s="16">
        <v>45341</v>
      </c>
      <c r="I18" s="2">
        <f t="shared" si="0"/>
        <v>31</v>
      </c>
    </row>
    <row r="19" spans="1:9" x14ac:dyDescent="0.25">
      <c r="A19" s="2">
        <v>18</v>
      </c>
      <c r="B19" s="2" t="s">
        <v>183</v>
      </c>
      <c r="C19" s="16">
        <v>45306</v>
      </c>
      <c r="D19" s="2" t="s">
        <v>137</v>
      </c>
      <c r="E19" s="2" t="s">
        <v>142</v>
      </c>
      <c r="F19" s="2" t="s">
        <v>184</v>
      </c>
      <c r="G19" s="15">
        <v>0.8</v>
      </c>
      <c r="H19" s="16">
        <v>45316</v>
      </c>
      <c r="I19" s="2">
        <f t="shared" si="0"/>
        <v>10</v>
      </c>
    </row>
    <row r="20" spans="1:9" x14ac:dyDescent="0.25">
      <c r="A20" s="2">
        <v>19</v>
      </c>
      <c r="B20" s="2" t="s">
        <v>185</v>
      </c>
      <c r="C20" s="16">
        <v>45304</v>
      </c>
      <c r="D20" s="2" t="s">
        <v>147</v>
      </c>
      <c r="E20" s="2" t="s">
        <v>148</v>
      </c>
      <c r="F20" s="2" t="s">
        <v>186</v>
      </c>
      <c r="G20" s="15">
        <v>1</v>
      </c>
      <c r="H20" s="16">
        <v>45364</v>
      </c>
      <c r="I20" s="2">
        <f t="shared" si="0"/>
        <v>60</v>
      </c>
    </row>
    <row r="21" spans="1:9" x14ac:dyDescent="0.25">
      <c r="A21" s="2">
        <v>20</v>
      </c>
      <c r="B21" s="2" t="s">
        <v>187</v>
      </c>
      <c r="C21" s="16">
        <v>45307</v>
      </c>
      <c r="D21" s="2" t="s">
        <v>141</v>
      </c>
      <c r="E21" s="2" t="s">
        <v>142</v>
      </c>
      <c r="F21" s="2" t="s">
        <v>188</v>
      </c>
      <c r="G21" s="15">
        <v>0.3</v>
      </c>
      <c r="H21" s="16">
        <v>45327</v>
      </c>
      <c r="I21" s="2">
        <f t="shared" si="0"/>
        <v>20</v>
      </c>
    </row>
    <row r="22" spans="1:9" x14ac:dyDescent="0.25">
      <c r="A22" s="2">
        <v>21</v>
      </c>
      <c r="B22" s="2" t="s">
        <v>189</v>
      </c>
      <c r="C22" s="16">
        <v>45305</v>
      </c>
      <c r="D22" s="2" t="s">
        <v>137</v>
      </c>
      <c r="E22" s="2" t="s">
        <v>138</v>
      </c>
      <c r="F22" s="2" t="s">
        <v>190</v>
      </c>
      <c r="G22" s="15">
        <v>0</v>
      </c>
      <c r="H22" s="16">
        <v>45315</v>
      </c>
      <c r="I22" s="2">
        <f t="shared" si="0"/>
        <v>10</v>
      </c>
    </row>
    <row r="23" spans="1:9" x14ac:dyDescent="0.25">
      <c r="A23" s="2">
        <v>22</v>
      </c>
      <c r="B23" s="2" t="s">
        <v>191</v>
      </c>
      <c r="C23" s="16">
        <v>45303</v>
      </c>
      <c r="D23" s="2" t="s">
        <v>141</v>
      </c>
      <c r="E23" s="2" t="s">
        <v>148</v>
      </c>
      <c r="F23" s="2" t="s">
        <v>192</v>
      </c>
      <c r="G23" s="15">
        <v>1</v>
      </c>
      <c r="H23" s="16">
        <v>45321</v>
      </c>
      <c r="I23" s="2">
        <f t="shared" si="0"/>
        <v>18</v>
      </c>
    </row>
    <row r="24" spans="1:9" x14ac:dyDescent="0.25">
      <c r="A24" s="2">
        <v>23</v>
      </c>
      <c r="B24" s="2" t="s">
        <v>193</v>
      </c>
      <c r="C24" s="16">
        <v>45308</v>
      </c>
      <c r="D24" s="2" t="s">
        <v>137</v>
      </c>
      <c r="E24" s="2" t="s">
        <v>138</v>
      </c>
      <c r="F24" s="2" t="s">
        <v>194</v>
      </c>
      <c r="G24" s="15">
        <v>0</v>
      </c>
      <c r="H24" s="16">
        <v>45318</v>
      </c>
      <c r="I24" s="2">
        <f t="shared" si="0"/>
        <v>10</v>
      </c>
    </row>
    <row r="25" spans="1:9" x14ac:dyDescent="0.25">
      <c r="A25" s="2">
        <v>24</v>
      </c>
      <c r="B25" s="2" t="s">
        <v>195</v>
      </c>
      <c r="C25" s="16">
        <v>45309</v>
      </c>
      <c r="D25" s="2" t="s">
        <v>141</v>
      </c>
      <c r="E25" s="2" t="s">
        <v>142</v>
      </c>
      <c r="F25" s="2" t="s">
        <v>196</v>
      </c>
      <c r="G25" s="15">
        <v>0.5</v>
      </c>
      <c r="H25" s="16">
        <v>45323</v>
      </c>
      <c r="I25" s="2">
        <f t="shared" si="0"/>
        <v>14</v>
      </c>
    </row>
    <row r="26" spans="1:9" x14ac:dyDescent="0.25">
      <c r="A26" s="2">
        <v>25</v>
      </c>
      <c r="B26" s="2" t="s">
        <v>197</v>
      </c>
      <c r="C26" s="16">
        <v>45310</v>
      </c>
      <c r="D26" s="2" t="s">
        <v>141</v>
      </c>
      <c r="E26" s="2" t="s">
        <v>138</v>
      </c>
      <c r="F26" s="2" t="s">
        <v>198</v>
      </c>
      <c r="G26" s="15">
        <v>0</v>
      </c>
      <c r="H26" s="16">
        <v>45341</v>
      </c>
      <c r="I26" s="2">
        <f t="shared" si="0"/>
        <v>31</v>
      </c>
    </row>
    <row r="27" spans="1:9" x14ac:dyDescent="0.25">
      <c r="A27" s="2">
        <v>26</v>
      </c>
      <c r="B27" s="2" t="s">
        <v>199</v>
      </c>
      <c r="C27" s="16">
        <v>45311</v>
      </c>
      <c r="D27" s="2" t="s">
        <v>147</v>
      </c>
      <c r="E27" s="2" t="s">
        <v>148</v>
      </c>
      <c r="F27" s="2" t="s">
        <v>200</v>
      </c>
      <c r="G27" s="15">
        <v>1</v>
      </c>
      <c r="H27" s="16">
        <v>45341</v>
      </c>
      <c r="I27" s="2">
        <f t="shared" si="0"/>
        <v>30</v>
      </c>
    </row>
    <row r="28" spans="1:9" x14ac:dyDescent="0.25">
      <c r="A28" s="2">
        <v>27</v>
      </c>
      <c r="B28" s="2" t="s">
        <v>201</v>
      </c>
      <c r="C28" s="16">
        <v>45307</v>
      </c>
      <c r="D28" s="2" t="s">
        <v>141</v>
      </c>
      <c r="E28" s="2" t="s">
        <v>142</v>
      </c>
      <c r="F28" s="2" t="s">
        <v>202</v>
      </c>
      <c r="G28" s="15">
        <v>0.2</v>
      </c>
      <c r="H28" s="16">
        <v>45340</v>
      </c>
      <c r="I28" s="2">
        <f t="shared" si="0"/>
        <v>33</v>
      </c>
    </row>
    <row r="29" spans="1:9" x14ac:dyDescent="0.25">
      <c r="A29" s="2">
        <v>28</v>
      </c>
      <c r="B29" s="2" t="s">
        <v>203</v>
      </c>
      <c r="C29" s="16">
        <v>45304</v>
      </c>
      <c r="D29" s="2" t="s">
        <v>147</v>
      </c>
      <c r="E29" s="2" t="s">
        <v>138</v>
      </c>
      <c r="F29" s="2" t="s">
        <v>204</v>
      </c>
      <c r="G29" s="15">
        <v>0</v>
      </c>
      <c r="H29" s="16">
        <v>45374</v>
      </c>
      <c r="I29" s="2">
        <f t="shared" si="0"/>
        <v>70</v>
      </c>
    </row>
    <row r="93" spans="3:4" x14ac:dyDescent="0.25">
      <c r="C93" s="14" t="s">
        <v>119</v>
      </c>
      <c r="D93" s="14" t="s">
        <v>205</v>
      </c>
    </row>
    <row r="94" spans="3:4" x14ac:dyDescent="0.25">
      <c r="C94" s="4" t="s">
        <v>197</v>
      </c>
      <c r="D94" s="6">
        <v>0</v>
      </c>
    </row>
    <row r="95" spans="3:4" x14ac:dyDescent="0.25">
      <c r="C95" s="4" t="s">
        <v>163</v>
      </c>
      <c r="D95" s="6">
        <v>0.5</v>
      </c>
    </row>
    <row r="96" spans="3:4" x14ac:dyDescent="0.25">
      <c r="C96" s="4" t="s">
        <v>171</v>
      </c>
      <c r="D96" s="6">
        <v>0</v>
      </c>
    </row>
    <row r="97" spans="3:4" x14ac:dyDescent="0.25">
      <c r="C97" s="4" t="s">
        <v>154</v>
      </c>
      <c r="D97" s="6">
        <v>1</v>
      </c>
    </row>
    <row r="98" spans="3:4" x14ac:dyDescent="0.25">
      <c r="C98" s="4" t="s">
        <v>185</v>
      </c>
      <c r="D98" s="6">
        <v>1</v>
      </c>
    </row>
    <row r="99" spans="3:4" x14ac:dyDescent="0.25">
      <c r="C99" s="4" t="s">
        <v>173</v>
      </c>
      <c r="D99" s="6">
        <v>0.4</v>
      </c>
    </row>
    <row r="100" spans="3:4" x14ac:dyDescent="0.25">
      <c r="C100" s="4" t="s">
        <v>189</v>
      </c>
      <c r="D100" s="6">
        <v>0</v>
      </c>
    </row>
    <row r="101" spans="3:4" x14ac:dyDescent="0.25">
      <c r="C101" s="4" t="s">
        <v>203</v>
      </c>
      <c r="D101" s="6">
        <v>0</v>
      </c>
    </row>
    <row r="102" spans="3:4" x14ac:dyDescent="0.25">
      <c r="C102" s="4" t="s">
        <v>160</v>
      </c>
      <c r="D102" s="6">
        <v>0</v>
      </c>
    </row>
    <row r="103" spans="3:4" x14ac:dyDescent="0.25">
      <c r="C103" s="4" t="s">
        <v>140</v>
      </c>
      <c r="D103" s="6">
        <v>0.4</v>
      </c>
    </row>
    <row r="104" spans="3:4" x14ac:dyDescent="0.25">
      <c r="C104" s="4" t="s">
        <v>201</v>
      </c>
      <c r="D104" s="6">
        <v>0.2</v>
      </c>
    </row>
    <row r="105" spans="3:4" x14ac:dyDescent="0.25">
      <c r="C105" s="4" t="s">
        <v>169</v>
      </c>
      <c r="D105" s="6">
        <v>1</v>
      </c>
    </row>
    <row r="106" spans="3:4" x14ac:dyDescent="0.25">
      <c r="C106" s="4" t="s">
        <v>157</v>
      </c>
      <c r="D106" s="6">
        <v>0</v>
      </c>
    </row>
    <row r="107" spans="3:4" x14ac:dyDescent="0.25">
      <c r="C107" s="4" t="s">
        <v>175</v>
      </c>
      <c r="D107" s="6">
        <v>1</v>
      </c>
    </row>
    <row r="108" spans="3:4" x14ac:dyDescent="0.25">
      <c r="C108" s="4" t="s">
        <v>191</v>
      </c>
      <c r="D108" s="6">
        <v>1</v>
      </c>
    </row>
    <row r="109" spans="3:4" x14ac:dyDescent="0.25">
      <c r="C109" s="4" t="s">
        <v>177</v>
      </c>
      <c r="D109" s="6">
        <v>0</v>
      </c>
    </row>
    <row r="110" spans="3:4" x14ac:dyDescent="0.25">
      <c r="C110" s="4" t="s">
        <v>183</v>
      </c>
      <c r="D110" s="6">
        <v>0.8</v>
      </c>
    </row>
    <row r="111" spans="3:4" x14ac:dyDescent="0.25">
      <c r="C111" s="4" t="s">
        <v>146</v>
      </c>
      <c r="D111" s="6">
        <v>1</v>
      </c>
    </row>
    <row r="112" spans="3:4" x14ac:dyDescent="0.25">
      <c r="C112" s="4" t="s">
        <v>199</v>
      </c>
      <c r="D112" s="6">
        <v>1</v>
      </c>
    </row>
    <row r="113" spans="3:4" x14ac:dyDescent="0.25">
      <c r="C113" s="4" t="s">
        <v>187</v>
      </c>
      <c r="D113" s="6">
        <v>0.3</v>
      </c>
    </row>
    <row r="114" spans="3:4" x14ac:dyDescent="0.25">
      <c r="C114" s="4" t="s">
        <v>193</v>
      </c>
      <c r="D114" s="6">
        <v>0</v>
      </c>
    </row>
    <row r="115" spans="3:4" x14ac:dyDescent="0.25">
      <c r="C115" s="4" t="s">
        <v>166</v>
      </c>
      <c r="D115" s="6">
        <v>0</v>
      </c>
    </row>
    <row r="116" spans="3:4" x14ac:dyDescent="0.25">
      <c r="C116" s="4" t="s">
        <v>195</v>
      </c>
      <c r="D116" s="6">
        <v>0.5</v>
      </c>
    </row>
    <row r="117" spans="3:4" x14ac:dyDescent="0.25">
      <c r="C117" s="4" t="s">
        <v>179</v>
      </c>
      <c r="D117" s="6">
        <v>1</v>
      </c>
    </row>
    <row r="118" spans="3:4" x14ac:dyDescent="0.25">
      <c r="C118" s="4" t="s">
        <v>151</v>
      </c>
      <c r="D118" s="6">
        <v>0.6</v>
      </c>
    </row>
    <row r="119" spans="3:4" x14ac:dyDescent="0.25">
      <c r="C119" s="4" t="s">
        <v>144</v>
      </c>
      <c r="D119" s="6">
        <v>0</v>
      </c>
    </row>
    <row r="120" spans="3:4" x14ac:dyDescent="0.25">
      <c r="C120" s="4" t="s">
        <v>181</v>
      </c>
      <c r="D120" s="6">
        <v>0</v>
      </c>
    </row>
    <row r="121" spans="3:4" x14ac:dyDescent="0.25">
      <c r="C121" s="4" t="s">
        <v>136</v>
      </c>
      <c r="D121" s="6">
        <v>0</v>
      </c>
    </row>
    <row r="122" spans="3:4" x14ac:dyDescent="0.25">
      <c r="C122" s="12" t="s">
        <v>120</v>
      </c>
      <c r="D122" s="13">
        <v>11.700000000000001</v>
      </c>
    </row>
  </sheetData>
  <conditionalFormatting sqref="D2:D24">
    <cfRule type="containsText" dxfId="4" priority="5" operator="containsText" text="High">
      <formula>NOT(ISERROR(SEARCH("High",D2)))</formula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D24">
    <cfRule type="containsText" dxfId="3" priority="4" operator="containsText" text="Medium">
      <formula>NOT(ISERROR(SEARCH("Medium",D3)))</formula>
    </cfRule>
  </conditionalFormatting>
  <conditionalFormatting sqref="D5:D24">
    <cfRule type="containsText" dxfId="2" priority="3" operator="containsText" text="Low">
      <formula>NOT(ISERROR(SEARCH("Low",D5)))</formula>
    </cfRule>
  </conditionalFormatting>
  <conditionalFormatting sqref="D25:D30">
    <cfRule type="containsText" dxfId="1" priority="2" operator="containsText" text="Medium">
      <formula>NOT(ISERROR(SEARCH("Medium",D25)))</formula>
    </cfRule>
  </conditionalFormatting>
  <conditionalFormatting sqref="D27:D30">
    <cfRule type="containsText" dxfId="0" priority="1" operator="containsText" text="Low">
      <formula>NOT(ISERROR(SEARCH("Low",D27)))</formula>
    </cfRule>
  </conditionalFormatting>
  <dataValidations count="1">
    <dataValidation type="list" allowBlank="1" showInputMessage="1" showErrorMessage="1" sqref="E2:E29">
      <formula1>"Not started,inprogress,completed"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 set </vt:lpstr>
      <vt:lpstr>pivot table</vt:lpstr>
      <vt:lpstr>macros</vt:lpstr>
      <vt:lpstr>macros test</vt:lpstr>
      <vt:lpstr>lookup function</vt:lpstr>
      <vt:lpstr>diagram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ELCOT</dc:creator>
  <cp:lastModifiedBy>ELCOT</cp:lastModifiedBy>
  <dcterms:created xsi:type="dcterms:W3CDTF">2025-07-05T00:28:08Z</dcterms:created>
  <dcterms:modified xsi:type="dcterms:W3CDTF">2025-07-05T17:28:21Z</dcterms:modified>
</cp:coreProperties>
</file>